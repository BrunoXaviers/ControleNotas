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ink/ink4.xml" ContentType="application/inkml+xml"/>
  <Override PartName="/xl/ink/ink5.xml" ContentType="application/inkml+xml"/>
  <Override PartName="/xl/ink/ink6.xml" ContentType="application/inkml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namedSheetViews/namedSheetView1.xml" ContentType="application/vnd.ms-excel.namedsheetview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esab-my.sharepoint.com/personal/bruno_santos_esab_com_br/Documents/Documents/"/>
    </mc:Choice>
  </mc:AlternateContent>
  <xr:revisionPtr revIDLastSave="80" documentId="8_{A83831EB-ED42-4136-BE14-D4C6C517FFBA}" xr6:coauthVersionLast="47" xr6:coauthVersionMax="47" xr10:uidLastSave="{DEB3467D-047F-4EA1-93B6-FF7569220B98}"/>
  <bookViews>
    <workbookView xWindow="-120" yWindow="-120" windowWidth="29040" windowHeight="15840" activeTab="3" xr2:uid="{CDAE2B8E-0550-4E88-807C-5878F8F2545A}"/>
  </bookViews>
  <sheets>
    <sheet name="Lançamento TELECOM" sheetId="1" r:id="rId1"/>
    <sheet name="Sheet2" sheetId="2" r:id="rId2"/>
    <sheet name="Lançamento INFRA" sheetId="6" r:id="rId3"/>
    <sheet name="TELECOM - BRA" sheetId="9" r:id="rId4"/>
    <sheet name="INFRA" sheetId="7" r:id="rId5"/>
    <sheet name="SOFTWARE - HARDWARE" sheetId="12" r:id="rId6"/>
    <sheet name="DADOS DE ACESSO " sheetId="13" r:id="rId7"/>
  </sheets>
  <functionGroups builtInGroupCount="19"/>
  <definedNames>
    <definedName name="_xlnm._FilterDatabase" localSheetId="4" hidden="1">INFRA!$B$1:$B$40</definedName>
    <definedName name="_xlnm._FilterDatabase" localSheetId="5" hidden="1">'SOFTWARE - HARDWARE'!$A$1:$L$150</definedName>
    <definedName name="_xlnm._FilterDatabase" localSheetId="3" hidden="1">'TELECOM - BRA'!$A$3:$CU$42</definedName>
    <definedName name="Setembro" localSheetId="3">'TELECOM - BRA'!$BM$3:$BS$39</definedName>
    <definedName name="Setembro">#REF!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6" i="2" l="1" a="1"/>
  <c r="A36" i="2" s="1"/>
  <c r="A33" i="2" a="1"/>
  <c r="A33" i="2" s="1"/>
  <c r="A29" i="2" a="1"/>
  <c r="A29" i="2" s="1"/>
  <c r="A27" i="2" a="1"/>
  <c r="A27" i="2" s="1"/>
  <c r="A26" i="2" a="1"/>
  <c r="A26" i="2" s="1"/>
  <c r="A24" i="2" a="1"/>
  <c r="A24" i="2" s="1"/>
  <c r="A14" i="2" a="1"/>
  <c r="A14" i="2" s="1"/>
  <c r="A8" i="2" a="1"/>
  <c r="A8" i="2" s="1"/>
  <c r="G101" i="12" l="1"/>
  <c r="CF61" i="9" l="1"/>
  <c r="CF61" i="9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tc={1A028CF4-2F2C-47BA-8731-0A3166868FA7}</author>
    <author>tc={309AF66A-E3AB-4F76-83C9-820390F73B21}</author>
  </authors>
  <commentList>
    <comment ref="AR38" authorId="0" shapeId="0" xr:uid="{1A028CF4-2F2C-47BA-8731-0A3166868FA7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12810650 / 12810651 / 12810652 -Century refaturamento
Responder:
    12810755* ajustado o 12810652
</t>
      </text>
    </comment>
    <comment ref="AV38" authorId="1" shapeId="0" xr:uid="{309AF66A-E3AB-4F76-83C9-820390F73B2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5000023412 
1000215001
1000215002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tc={58714C27-DD77-4F0C-8050-5EE5CD079516}</author>
    <author>tc={59430885-729B-40A8-9E02-F0A561F96ADF}</author>
    <author>tc={6D30E991-F3E2-4622-8668-881F6248482C}</author>
    <author>tc={357E7A5F-8073-4AE3-A962-058920CADC57}</author>
    <author>tc={DEFFD395-751A-4E81-AF04-413D90EFEDFD}</author>
    <author>tc={712BC332-9581-40DC-949A-11550960763E}</author>
    <author>tc={AAA827DA-479A-4225-9F44-3E2C63D30FB2}</author>
    <author>Diogo Lacerda Silva</author>
  </authors>
  <commentList>
    <comment ref="I9" authorId="0" shapeId="0" xr:uid="{58714C27-DD77-4F0C-8050-5EE5CD07951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RC criada pela TI, mas as faturas são registradas pelo Victor Horta e Bernardo Hemont</t>
      </text>
    </comment>
    <comment ref="I11" authorId="1" shapeId="0" xr:uid="{59430885-729B-40A8-9E02-F0A561F96A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RC criada pela TI, mas as faturas são registradas pelo Victor Horta e Bernardo Hemont</t>
      </text>
    </comment>
    <comment ref="I13" authorId="2" shapeId="0" xr:uid="{6D30E991-F3E2-4622-8668-881F6248482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Carlito, entra com a NF</t>
      </text>
    </comment>
    <comment ref="I14" authorId="3" shapeId="0" xr:uid="{357E7A5F-8073-4AE3-A962-058920CADC5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RC criada pela TI, mas as faturas são registradas pelo Victor Horta e Bernardo Hemont</t>
      </text>
    </comment>
    <comment ref="I18" authorId="4" shapeId="0" xr:uid="{DEFFD395-751A-4E81-AF04-413D90EFED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RC criada pela TI, mas as faturas são registradas pelo Victor Horta e Bernardo Hemont</t>
      </text>
    </comment>
    <comment ref="G21" authorId="5" shapeId="0" xr:uid="{712BC332-9581-40DC-949A-11550960763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Fone de Ouvido</t>
      </text>
    </comment>
    <comment ref="G22" authorId="6" shapeId="0" xr:uid="{AAA827DA-479A-4225-9F44-3E2C63D30FB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Toledo! 
- Conversor
-Serviço</t>
      </text>
    </comment>
    <comment ref="C165" authorId="7" shapeId="0" xr:uid="{1764E82B-0551-40D5-8BD1-5ACD9F7FA241}">
      <text>
        <r>
          <rPr>
            <b/>
            <sz val="9"/>
            <color indexed="81"/>
            <rFont val="Segoe UI"/>
            <family val="2"/>
          </rPr>
          <t>Diogo Lacerda Silva:</t>
        </r>
        <r>
          <rPr>
            <sz val="9"/>
            <color indexed="81"/>
            <rFont val="Segoe UI"/>
            <family val="2"/>
          </rPr>
          <t xml:space="preserve">
0012822974 -  Improvement WiFi Matriz -  Hardware
0012823045 -  Improvement WiFi Matriz -  Licenças
0012823046 -  Switches Purchase Matriz - Hardware
0012823047 -  Switches Purchase Matriz - Licenças
0012823048 -  Readjustment of Network Cabling in Brazil units - Hardware
0012823049 -  Readjustment of Network Cabling in Brazil units - Licenças
0012823050 -  Data Center Salvador - Hardware
0012823020 -  Wifi Belo 2 - Hardware
0012823022 -  Wifi Belo 2 - Licenças
0012823023 -  Improvement Network Belo 2 -  Hardware
0012823024 -  Improvement Network Belo 2 -  Licenças
0012824689 / 0012824694 -  WI-FI Indaiatuba 
0012824319 - Nobreaks ESAB/Condor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<sst xmlns="http://schemas.openxmlformats.org/spreadsheetml/2006/main" count="1005" uniqueCount="497">
  <si>
    <t xml:space="preserve">FORNECEDOR </t>
  </si>
  <si>
    <t>FORNECEDOR</t>
  </si>
  <si>
    <t>CONTA</t>
  </si>
  <si>
    <t>VALOR</t>
  </si>
  <si>
    <t>R$</t>
  </si>
  <si>
    <t>TELECOM</t>
  </si>
  <si>
    <t>PEDIDO</t>
  </si>
  <si>
    <t>PC</t>
  </si>
  <si>
    <t/>
  </si>
  <si>
    <t>ENCARGOS</t>
  </si>
  <si>
    <t>PLANILHA DE CONTROLE</t>
  </si>
  <si>
    <t>,</t>
  </si>
  <si>
    <t>DE REQUSIÇÕES</t>
  </si>
  <si>
    <t>MIGO / FOLHA DE SERVIÇO</t>
  </si>
  <si>
    <t>REQUISIÇÃO</t>
  </si>
  <si>
    <t>RC</t>
  </si>
  <si>
    <t>LANÇAMENTO DE REQUISIÇÕES</t>
  </si>
  <si>
    <t>LANÇAMENTO DE MIGO / SERVIÇO</t>
  </si>
  <si>
    <t>Vivo</t>
  </si>
  <si>
    <t>VIVO 2405 CR01</t>
  </si>
  <si>
    <t>VIVO 2356 ES01</t>
  </si>
  <si>
    <t>VIVO 1211 ES01</t>
  </si>
  <si>
    <t>VIVO 7129 ES02</t>
  </si>
  <si>
    <t>VIVO 1895 ES05</t>
  </si>
  <si>
    <t>VIVO 3811 ES03</t>
  </si>
  <si>
    <t>Embratel</t>
  </si>
  <si>
    <t>DDN ESAB</t>
  </si>
  <si>
    <t>DDN CR01</t>
  </si>
  <si>
    <t>VPE ESAB</t>
  </si>
  <si>
    <t>VPE CR01</t>
  </si>
  <si>
    <t>INN ESAB</t>
  </si>
  <si>
    <t>INN CR01</t>
  </si>
  <si>
    <t>BSP ESAB</t>
  </si>
  <si>
    <t>DDN ES03</t>
  </si>
  <si>
    <t>INN ESAB ES05</t>
  </si>
  <si>
    <t>TIM</t>
  </si>
  <si>
    <t>Y3</t>
  </si>
  <si>
    <t>METODO</t>
  </si>
  <si>
    <t>Manutençao Central Telefonica -  SP</t>
  </si>
  <si>
    <t>Locação de Central Telefonica - Matriz e Filiais</t>
  </si>
  <si>
    <t>TMS</t>
  </si>
  <si>
    <t>AT&amp;T</t>
  </si>
  <si>
    <t>Link MPLS AT&amp;T AVPN</t>
  </si>
  <si>
    <t>Link NetBond AT&amp;T With Azure</t>
  </si>
  <si>
    <t>ALGAR</t>
  </si>
  <si>
    <t>Telefonia Matriz 7090 ES01</t>
  </si>
  <si>
    <t>Telefonia Site II 9812 ES07</t>
  </si>
  <si>
    <t>Internet Matriz e SP 1105 ES01</t>
  </si>
  <si>
    <t>Internet Unidade II 1323 ES07</t>
  </si>
  <si>
    <t>ALGAR - VOGEL</t>
  </si>
  <si>
    <t>Internet Unidade Salvador 0990 ES05</t>
  </si>
  <si>
    <t>LAN TO LAN Site II  8782 ES07</t>
  </si>
  <si>
    <t>LAN TO LAN Condor 8863 CR01</t>
  </si>
  <si>
    <t>OI</t>
  </si>
  <si>
    <t>POA 3774</t>
  </si>
  <si>
    <t>POA 3871</t>
  </si>
  <si>
    <t>ÁVATO</t>
  </si>
  <si>
    <t>CENTURY</t>
  </si>
  <si>
    <t>FOR</t>
  </si>
  <si>
    <t>REQ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</si>
  <si>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</si>
  <si>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</si>
  <si>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</si>
  <si>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</si>
  <si>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</si>
  <si>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</si>
  <si>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</si>
  <si>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</si>
  <si>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</si>
  <si>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</si>
  <si>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</si>
  <si>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</si>
  <si>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SIMPRESS</t>
  </si>
  <si>
    <t>MICROCITY/AGASUS</t>
  </si>
  <si>
    <t>AGASUS ES01</t>
  </si>
  <si>
    <t>AGASUS CR01</t>
  </si>
  <si>
    <t>CABTEC</t>
  </si>
  <si>
    <t>CABTEC ES01</t>
  </si>
  <si>
    <t>CABTEC ES07</t>
  </si>
  <si>
    <t>CABTEC CR01</t>
  </si>
  <si>
    <t>CABTEC ES03</t>
  </si>
  <si>
    <t>CABTEC ES05</t>
  </si>
  <si>
    <t>CABTEC GARANTIA ES01</t>
  </si>
  <si>
    <t>LENOVO</t>
  </si>
  <si>
    <t>INFRA</t>
  </si>
  <si>
    <t>12829958 / 12829909</t>
  </si>
  <si>
    <t>CONTROLE DE LANÇAMENTOS DE NOTAS FISCAIS DE COMPRA 2024</t>
  </si>
  <si>
    <t>EMPRESA</t>
  </si>
  <si>
    <t>CONTA CONTABIL</t>
  </si>
  <si>
    <t>Centro de Custo</t>
  </si>
  <si>
    <t>Data de Recebimento</t>
  </si>
  <si>
    <t>Meio de Recebimento</t>
  </si>
  <si>
    <t>Valor</t>
  </si>
  <si>
    <t>MIGO</t>
  </si>
  <si>
    <t>D/E FISCAL</t>
  </si>
  <si>
    <t>REGISTRO FISCAL</t>
  </si>
  <si>
    <t>Encargos</t>
  </si>
  <si>
    <t>MIGO OU FOLHA DE SERVIÇO</t>
  </si>
  <si>
    <t>Data Envio p/ Fiscal</t>
  </si>
  <si>
    <t>C.R</t>
  </si>
  <si>
    <t>TELEFONIA MOVEL</t>
  </si>
  <si>
    <t>VIVO 0371942405 CR01</t>
  </si>
  <si>
    <t>VIVO</t>
  </si>
  <si>
    <t>CONDOR</t>
  </si>
  <si>
    <t>07 a 10 do Mês</t>
  </si>
  <si>
    <t>Email</t>
  </si>
  <si>
    <t>VIVO 0154012356 ES01</t>
  </si>
  <si>
    <t>ESAB</t>
  </si>
  <si>
    <t>VIVO 0373741211 ES01</t>
  </si>
  <si>
    <t>VIVO 0372127129 ES02</t>
  </si>
  <si>
    <t>VIVO 0374041895 ES05</t>
  </si>
  <si>
    <t>VIVO 373923811 ES03</t>
  </si>
  <si>
    <t>TIM - Linhas celular + Dados</t>
  </si>
  <si>
    <t>Após dia 07</t>
  </si>
  <si>
    <t>Portal</t>
  </si>
  <si>
    <t>Y3 GESTAO</t>
  </si>
  <si>
    <t>01 do mês</t>
  </si>
  <si>
    <t>TELEFONIA FIXA</t>
  </si>
  <si>
    <t>90 dias</t>
  </si>
  <si>
    <t>Rateio</t>
  </si>
  <si>
    <t>Manutenção Central Telefônica - Condor (Serviço)</t>
  </si>
  <si>
    <t>0800 DDN ESAB</t>
  </si>
  <si>
    <t>EMBRATEL</t>
  </si>
  <si>
    <t>após dia 04</t>
  </si>
  <si>
    <t xml:space="preserve">4500752447 / 4500752450 / 4500752512 / 4500752449 / 4500752539 / 4500752538 / 4500752526 </t>
  </si>
  <si>
    <t xml:space="preserve">5000002146 / 5000002149 / 5000002150 / 5000002374 / 5000002375 / 5000002376 </t>
  </si>
  <si>
    <t>0800 Esab Indaiatuba 77311-0018</t>
  </si>
  <si>
    <t>0800 Condor 1013885-0000</t>
  </si>
  <si>
    <t>5000001269 / 5000001290</t>
  </si>
  <si>
    <t>VPE Matriz 77311-0000 (Columbia, Rio e SAA aglutinadas)</t>
  </si>
  <si>
    <t>Diversos</t>
  </si>
  <si>
    <t>após dia 10</t>
  </si>
  <si>
    <t>Dia 24</t>
  </si>
  <si>
    <t xml:space="preserve">5000002157 / 5000002789 / 5000002159 / 5000002160 / 5000002161 / 5000002860 </t>
  </si>
  <si>
    <t>VPE Condor 1013885-0002</t>
  </si>
  <si>
    <t>Telefonia Matriz - 100005527090 (ID 149850)</t>
  </si>
  <si>
    <t>Dia 21</t>
  </si>
  <si>
    <t>Telefonia Site II - 100020309812 (ID 136567)</t>
  </si>
  <si>
    <t>BSP Esab Rio de Janeiro ( Serviço ) 77311-0020</t>
  </si>
  <si>
    <t>a partir do dia 10</t>
  </si>
  <si>
    <t>portal e Site de SP</t>
  </si>
  <si>
    <t xml:space="preserve">Matriz 3333-4333 </t>
  </si>
  <si>
    <t>23 mês anterior</t>
  </si>
  <si>
    <t>Dia 18</t>
  </si>
  <si>
    <t>03 do mês</t>
  </si>
  <si>
    <t>5000000839 / 5000000840</t>
  </si>
  <si>
    <t xml:space="preserve">5000000841 / 5000000842 </t>
  </si>
  <si>
    <t>INTERNET / MPLS / LAN TO LAN</t>
  </si>
  <si>
    <t>INN ESAB (MATRIZ / RIO Unificadas) 77311-0020</t>
  </si>
  <si>
    <t>portal</t>
  </si>
  <si>
    <t>4500752451 / 4500752452</t>
  </si>
  <si>
    <t xml:space="preserve">5000002377 / 5000002379 </t>
  </si>
  <si>
    <t>INN Condor - 1013885-0002</t>
  </si>
  <si>
    <t>Internet Salvador Embratel 77311-7000</t>
  </si>
  <si>
    <t xml:space="preserve">Cetury </t>
  </si>
  <si>
    <t>Varios</t>
  </si>
  <si>
    <t>03 ou 04 do mes</t>
  </si>
  <si>
    <t xml:space="preserve">portal </t>
  </si>
  <si>
    <t>04 do prox mês</t>
  </si>
  <si>
    <t>dia 12</t>
  </si>
  <si>
    <t>LAN TO LAN - Site II  000488038782 (ID 8894329 e 8894330)</t>
  </si>
  <si>
    <t>Dia 11 prox mês</t>
  </si>
  <si>
    <t>LAN TO LAN - Condor 000488038863</t>
  </si>
  <si>
    <t>Link Internet Contigencia Indaiatuba</t>
  </si>
  <si>
    <t>a partir do dia 02</t>
  </si>
  <si>
    <t>Após 1 mês</t>
  </si>
  <si>
    <t>dia 02</t>
  </si>
  <si>
    <t>12828678 / 12828679 / 12828680</t>
  </si>
  <si>
    <t>até dia 05</t>
  </si>
  <si>
    <t>Dia 01 prox mês</t>
  </si>
  <si>
    <t>4500752458 / 4500752459 / 4500752460</t>
  </si>
  <si>
    <t xml:space="preserve"> </t>
  </si>
  <si>
    <t>CONTROLE DE NOTAS FISCAIS DE INFRAESTRUTURA</t>
  </si>
  <si>
    <t>ID</t>
  </si>
  <si>
    <t>Conta Contabil</t>
  </si>
  <si>
    <t>Data Recebimento</t>
  </si>
  <si>
    <t>Forma de Recebimento</t>
  </si>
  <si>
    <t>Vencimento</t>
  </si>
  <si>
    <t>FOLHA DE SERVIÇO</t>
  </si>
  <si>
    <t>Data Envio para FISCAL</t>
  </si>
  <si>
    <t>ALUGUEL</t>
  </si>
  <si>
    <t>Aluguel de Impressoras</t>
  </si>
  <si>
    <t>4516002</t>
  </si>
  <si>
    <t>Até dia 05</t>
  </si>
  <si>
    <t>60 dias após emissão</t>
  </si>
  <si>
    <t>COPIMAQ</t>
  </si>
  <si>
    <t>Aluguel de Computadores / Notebook</t>
  </si>
  <si>
    <t>Microcity/Agasus</t>
  </si>
  <si>
    <t>1476</t>
  </si>
  <si>
    <t>9102</t>
  </si>
  <si>
    <t xml:space="preserve">20 dias após emissão </t>
  </si>
  <si>
    <t>Nota de Debito - Avulsos</t>
  </si>
  <si>
    <t>Variavel</t>
  </si>
  <si>
    <t>30 dias após emissão</t>
  </si>
  <si>
    <t>Aluguel de Equipamentos - Logistica Matriz</t>
  </si>
  <si>
    <t>Cabtec</t>
  </si>
  <si>
    <t>Aluguel de Equipamentos - Logistica Site II</t>
  </si>
  <si>
    <t>Aluguel de Equipamentos - Logistica Condor</t>
  </si>
  <si>
    <t>Aluguel de Equipamentos - Logistica Indaiatuba</t>
  </si>
  <si>
    <t>Aluguel de Equipamentos - Logistica Salvador</t>
  </si>
  <si>
    <t>SERVIÇOS TERCEIROS TI / MANUTENÇAO</t>
  </si>
  <si>
    <t>Extensao de Garantia Assegurada - Equip Logistica</t>
  </si>
  <si>
    <t>4516009</t>
  </si>
  <si>
    <t>Lenovo</t>
  </si>
  <si>
    <t>Manut Servidores - Contrato ZAMMEW</t>
  </si>
  <si>
    <t>Serviços Terceiros Servidores</t>
  </si>
  <si>
    <t>Relacional TI</t>
  </si>
  <si>
    <t>Saulo - Consutoria Rede</t>
  </si>
  <si>
    <t>Packet Network</t>
  </si>
  <si>
    <t>Servidores/Desktop/Notebooks</t>
  </si>
  <si>
    <t>Dell</t>
  </si>
  <si>
    <t>CONTROLE  DE NOTAS FISCAIS DE  SOFTWARE</t>
  </si>
  <si>
    <t>Controle</t>
  </si>
  <si>
    <t>SOFTWARES / HARDWARE</t>
  </si>
  <si>
    <t>Conta</t>
  </si>
  <si>
    <t>Win. Data Center</t>
  </si>
  <si>
    <t>Renovacao Licenca MS Windows Datacenter</t>
  </si>
  <si>
    <t>Adobe Criative Cloud</t>
  </si>
  <si>
    <t xml:space="preserve">Renovacao Adobe Creative Cloud </t>
  </si>
  <si>
    <t>SAP  ECC</t>
  </si>
  <si>
    <t>Dell R730 SAP RCC</t>
  </si>
  <si>
    <t>PRTG</t>
  </si>
  <si>
    <t>PRTG Software</t>
  </si>
  <si>
    <t>Corel Draw</t>
  </si>
  <si>
    <t>LOG Comex</t>
  </si>
  <si>
    <t>Plataforma LOG Comex</t>
  </si>
  <si>
    <t>Customer Service</t>
  </si>
  <si>
    <t>Renovação Cisco</t>
  </si>
  <si>
    <t xml:space="preserve">Click UP </t>
  </si>
  <si>
    <t>Click UP</t>
  </si>
  <si>
    <t xml:space="preserve">Adobe PRO </t>
  </si>
  <si>
    <t>Adope Pro</t>
  </si>
  <si>
    <t>Google Chrome Cast</t>
  </si>
  <si>
    <t xml:space="preserve">vSphere </t>
  </si>
  <si>
    <t>vSphere Standard for 1 Processor</t>
  </si>
  <si>
    <t>Cancelada</t>
  </si>
  <si>
    <t>VMWARE</t>
  </si>
  <si>
    <t>Veeam Backup</t>
  </si>
  <si>
    <t>d</t>
  </si>
  <si>
    <t>AutoCAD</t>
  </si>
  <si>
    <t>Vcenter</t>
  </si>
  <si>
    <t>FORTINET</t>
  </si>
  <si>
    <t>KA Solution</t>
  </si>
  <si>
    <t>1000166403 / 1000166404</t>
  </si>
  <si>
    <t>Fone de Ouvido</t>
  </si>
  <si>
    <t>Conversor Toledo</t>
  </si>
  <si>
    <t>MANUTENÇÃO Toledo</t>
  </si>
  <si>
    <t>1000168513 / 1000168514</t>
  </si>
  <si>
    <t xml:space="preserve">Consultoria UAR </t>
  </si>
  <si>
    <t xml:space="preserve">DIGITEK </t>
  </si>
  <si>
    <t>TEAM VIEWER</t>
  </si>
  <si>
    <t>12229642 / 12251065</t>
  </si>
  <si>
    <t>Substituição de porta almoxarifado TI</t>
  </si>
  <si>
    <t>Net Service</t>
  </si>
  <si>
    <t>1000172081 (32.300,47)</t>
  </si>
  <si>
    <t>Gesplan</t>
  </si>
  <si>
    <t>Ordem</t>
  </si>
  <si>
    <t>SanSource - Compra Nobreaks</t>
  </si>
  <si>
    <t>Seidor - WMS</t>
  </si>
  <si>
    <t>Projetos</t>
  </si>
  <si>
    <t>Seidor - DRP</t>
  </si>
  <si>
    <t>1000173790 / 1000173792 / 1000173793</t>
  </si>
  <si>
    <t>Simpress ND</t>
  </si>
  <si>
    <t xml:space="preserve">Microcity ND </t>
  </si>
  <si>
    <t xml:space="preserve">Eletro Util </t>
  </si>
  <si>
    <t xml:space="preserve">Eletro Util - Site II </t>
  </si>
  <si>
    <t xml:space="preserve">Plataforma ( Transporte ) </t>
  </si>
  <si>
    <t>cancelado</t>
  </si>
  <si>
    <t>Fast Eletronic ( Bateria Paulo )</t>
  </si>
  <si>
    <t>1026 / 6451</t>
  </si>
  <si>
    <t>Autodesk</t>
  </si>
  <si>
    <t>Adobe</t>
  </si>
  <si>
    <t>Renovação Dell Power Edge</t>
  </si>
  <si>
    <t>6441 / 1450</t>
  </si>
  <si>
    <t>MM NET</t>
  </si>
  <si>
    <t>ww</t>
  </si>
  <si>
    <t>ND Microcity</t>
  </si>
  <si>
    <t>aguardando regularização</t>
  </si>
  <si>
    <t>Westcon</t>
  </si>
  <si>
    <t>12471615 / 12471647 / 0012471648 / 0012471650</t>
  </si>
  <si>
    <t xml:space="preserve">4500672336 / 4500672337 / 4500672338 / 4500672340 </t>
  </si>
  <si>
    <t>1000183404 / 1000183405 / 1000183408 / 1000183409</t>
  </si>
  <si>
    <t>Seidor</t>
  </si>
  <si>
    <t>Ecomex</t>
  </si>
  <si>
    <t>HD Externo</t>
  </si>
  <si>
    <t>12460156 / 0012507293</t>
  </si>
  <si>
    <t>SolidWorks</t>
  </si>
  <si>
    <t xml:space="preserve">                       -</t>
  </si>
  <si>
    <t>Fone Bluetooth</t>
  </si>
  <si>
    <t>Carregadores Celular</t>
  </si>
  <si>
    <t>DHCP (Cabos)</t>
  </si>
  <si>
    <t>5000037929 / 5000038070 / 5000038071 / 5000038072</t>
  </si>
  <si>
    <t>PORT(SC)</t>
  </si>
  <si>
    <t>5000038049 /
5000038180 /
5000038181 /
5000038182 /</t>
  </si>
  <si>
    <t>DHCP (HEADSET)</t>
  </si>
  <si>
    <t>Microcity Avulsa</t>
  </si>
  <si>
    <t>12516391 / 12516393 / 12516424</t>
  </si>
  <si>
    <t>4500678861 / 4500678862 / 4500678863</t>
  </si>
  <si>
    <t>1000186690 / 1000186691 / 1000186692</t>
  </si>
  <si>
    <t>AT&amp;T Avulsa</t>
  </si>
  <si>
    <t>Power Controles - Compra Nobreaks</t>
  </si>
  <si>
    <t>Manutenção Nobreak</t>
  </si>
  <si>
    <t>Memoria FAST</t>
  </si>
  <si>
    <t>Licenças AutoDesk - Eutectic</t>
  </si>
  <si>
    <t>USD 2967 / 15.424,23</t>
  </si>
  <si>
    <t>Renovação Garantia Dell</t>
  </si>
  <si>
    <t xml:space="preserve">4500685533 (erro) / </t>
  </si>
  <si>
    <t>1000191538 / 1000191540 / 1000191542</t>
  </si>
  <si>
    <t>MMNET</t>
  </si>
  <si>
    <t>Identificação Fibra Otica - Telecom</t>
  </si>
  <si>
    <t>Fast</t>
  </si>
  <si>
    <t xml:space="preserve">YubiKey </t>
  </si>
  <si>
    <t>Treinamento Ecomex</t>
  </si>
  <si>
    <t>Celular Samsung S23 Ultra</t>
  </si>
  <si>
    <t>Manutençao Rede Salvador</t>
  </si>
  <si>
    <t>Click UP (Resp Bernardo Hermont)</t>
  </si>
  <si>
    <t>gust</t>
  </si>
  <si>
    <t>Kit de Ferramentas</t>
  </si>
  <si>
    <t xml:space="preserve">Serviço de Melhoria Contínua </t>
  </si>
  <si>
    <t>CABO Adaptador\Conversor HDMI DHCP</t>
  </si>
  <si>
    <t>Concerto A52</t>
  </si>
  <si>
    <t>R$ 670,00</t>
  </si>
  <si>
    <t xml:space="preserve"> 4500695911 / </t>
  </si>
  <si>
    <t>27/abr</t>
  </si>
  <si>
    <t>Vivo Devolução(Modem e SIM CARD)</t>
  </si>
  <si>
    <t>R$ 5.232,00</t>
  </si>
  <si>
    <t xml:space="preserve"> 1000195316 / 5000016687 / 5000016688 </t>
  </si>
  <si>
    <t>Renovação Suporte CISCO HWS</t>
  </si>
  <si>
    <t>DIGITEK Baterias</t>
  </si>
  <si>
    <t>R$ 540.60</t>
  </si>
  <si>
    <t>DIGITEK</t>
  </si>
  <si>
    <t>4500697013 / 4500697014</t>
  </si>
  <si>
    <t>DIGITEK Serviço de manutenção</t>
  </si>
  <si>
    <t>1000198725 / 1000200209</t>
  </si>
  <si>
    <t>Renovação licença AutoCAD</t>
  </si>
  <si>
    <t>4500705261 / 4500705262</t>
  </si>
  <si>
    <t>Renovação licença SQL Server Microsoft</t>
  </si>
  <si>
    <t>Renovação licença Adobe</t>
  </si>
  <si>
    <t>ARBOR</t>
  </si>
  <si>
    <t>HD - 2xPenDrive - Fita - Carregador</t>
  </si>
  <si>
    <t xml:space="preserve">Kit  Lilian </t>
  </si>
  <si>
    <t>Renovação FortiGate</t>
  </si>
  <si>
    <t>1000201962 - 1000201964 - 1000201965 - 1000201966</t>
  </si>
  <si>
    <t xml:space="preserve">Renovação Corel Draw </t>
  </si>
  <si>
    <t>Entrada em Agosto/23</t>
  </si>
  <si>
    <t>SAULO PACKET</t>
  </si>
  <si>
    <t>1000203449 - 1000203450 - 1000203451 - 1000203452</t>
  </si>
  <si>
    <t>Entrada em Nov/23</t>
  </si>
  <si>
    <t>Site Survey 4infra</t>
  </si>
  <si>
    <t>12758834 / 12758835</t>
  </si>
  <si>
    <t xml:space="preserve">13.964,79
</t>
  </si>
  <si>
    <t xml:space="preserve">  </t>
  </si>
  <si>
    <t>5000000459 / 1000209880</t>
  </si>
  <si>
    <t>23/12</t>
  </si>
  <si>
    <t>RC Nobreaks' 3</t>
  </si>
  <si>
    <t>28/12</t>
  </si>
  <si>
    <t>RC Supplychain</t>
  </si>
  <si>
    <t>Trustsis - UAR</t>
  </si>
  <si>
    <t>15/12</t>
  </si>
  <si>
    <t>18/12</t>
  </si>
  <si>
    <t>Fifty One - Implantação Serv RH</t>
  </si>
  <si>
    <t>Corel Marketing</t>
  </si>
  <si>
    <t>4500717612 / 4500717537</t>
  </si>
  <si>
    <t>1000205798 / 1000205804</t>
  </si>
  <si>
    <t>Adobe - CreativeCloud MKT</t>
  </si>
  <si>
    <t>Team Viewer</t>
  </si>
  <si>
    <t>1000206471 / 1000206472 / 1000206473</t>
  </si>
  <si>
    <t>Senior</t>
  </si>
  <si>
    <t>21/12</t>
  </si>
  <si>
    <t>Modem Aquario 4G -  2 UN.</t>
  </si>
  <si>
    <t>RC Tablets</t>
  </si>
  <si>
    <t>Adaptador VGA- HDMI</t>
  </si>
  <si>
    <t>Smarphone Galaxy S24 Note</t>
  </si>
  <si>
    <t>Renovação Servidores DELL</t>
  </si>
  <si>
    <t xml:space="preserve">BOTA DE EPI </t>
  </si>
  <si>
    <t>DigiteK Serviço Complementar</t>
  </si>
  <si>
    <t>R$ 330.00</t>
  </si>
  <si>
    <t>16/4</t>
  </si>
  <si>
    <t>DigiteK Serviço es01/es07</t>
  </si>
  <si>
    <t>4500726482 / 4500726483</t>
  </si>
  <si>
    <t>1000210614 / 1000210615</t>
  </si>
  <si>
    <t>Digitek Baterias Condor</t>
  </si>
  <si>
    <t>12803675 / 12803673</t>
  </si>
  <si>
    <t>15/4</t>
  </si>
  <si>
    <t>Digitek Serviços Manutenção</t>
  </si>
  <si>
    <t>Digitek Baterias Matriz</t>
  </si>
  <si>
    <t>SSD RH</t>
  </si>
  <si>
    <t>Depósito Paranagua Cabos</t>
  </si>
  <si>
    <t>Papel</t>
  </si>
  <si>
    <r>
      <t xml:space="preserve"> </t>
    </r>
    <r>
      <rPr>
        <b/>
        <sz val="11"/>
        <color theme="1"/>
        <rFont val="Aptos Narrow"/>
        <family val="2"/>
        <scheme val="minor"/>
      </rPr>
      <t>1470 / 2010 / 1534</t>
    </r>
  </si>
  <si>
    <t xml:space="preserve">Kit Teclado </t>
  </si>
  <si>
    <t>KIT TECLADO E MOUSE</t>
  </si>
  <si>
    <t>Suporte notebook</t>
  </si>
  <si>
    <t>Rateio Treinees</t>
  </si>
  <si>
    <t>HeadSet</t>
  </si>
  <si>
    <t>PowerTec Serviçoes Manutenção</t>
  </si>
  <si>
    <t>15/5</t>
  </si>
  <si>
    <t>2010 / 1520 / 1476</t>
  </si>
  <si>
    <t>Kit teclado e mouse e headset</t>
  </si>
  <si>
    <t>Kit Teclado/Mouse</t>
  </si>
  <si>
    <t>Adaptador VGA-HDMI</t>
  </si>
  <si>
    <t>MM NET - CPD PR</t>
  </si>
  <si>
    <t>MM NET  - ALMOX SITE II</t>
  </si>
  <si>
    <t>MM NET - Serviços SITE II</t>
  </si>
  <si>
    <t>EVTIT - EHP8</t>
  </si>
  <si>
    <t>NSI TESTES</t>
  </si>
  <si>
    <t>1000213969 / 1000214825</t>
  </si>
  <si>
    <t>RC Nobreaks' 5</t>
  </si>
  <si>
    <t>LENOVO REFATURAMENTO</t>
  </si>
  <si>
    <t>MM NET  - AMNUT SITE II</t>
  </si>
  <si>
    <t>4516009/4516002</t>
  </si>
  <si>
    <t>1476/9102</t>
  </si>
  <si>
    <t>MONITOR DE TEMP</t>
  </si>
  <si>
    <t>4500733056 / 4500733499</t>
  </si>
  <si>
    <t>ClickUP</t>
  </si>
  <si>
    <t>FITA ROTULADOR / HUB USB</t>
  </si>
  <si>
    <t>KIT THIAGO FREITAS</t>
  </si>
  <si>
    <t xml:space="preserve">FITA ROTULADOR </t>
  </si>
  <si>
    <t>Kit teclado/mouse Logitech</t>
  </si>
  <si>
    <t>R$ 197.49</t>
  </si>
  <si>
    <t>HWS</t>
  </si>
  <si>
    <t>16/8</t>
  </si>
  <si>
    <t>1476 / 1435 / 6229 / 1400</t>
  </si>
  <si>
    <t>Kit teclado/mouse - Conversor HDMI</t>
  </si>
  <si>
    <t>6229 / 6230</t>
  </si>
  <si>
    <t>1300 / 1522</t>
  </si>
  <si>
    <t>LOGCOMEX</t>
  </si>
  <si>
    <t>R$2.120,04</t>
  </si>
  <si>
    <t>Trustsis UAR</t>
  </si>
  <si>
    <t>MM NET RACKS SITE II</t>
  </si>
  <si>
    <t>4900,50</t>
  </si>
  <si>
    <t>Kit teclado/mouse DELL</t>
  </si>
  <si>
    <t>DIGITEK PAINEL</t>
  </si>
  <si>
    <t>12812848 / 0012812850</t>
  </si>
  <si>
    <t>815,87_x000D_</t>
  </si>
  <si>
    <t>1026/6212 / 6230/ 6323 / 6451 / 1570 / 6212 / 6230 / 6451</t>
  </si>
  <si>
    <t>Renovação Autocad</t>
  </si>
  <si>
    <t>14.576,94</t>
  </si>
  <si>
    <t>Renovação Windows DataCenter</t>
  </si>
  <si>
    <t>82.682,88</t>
  </si>
  <si>
    <t>15/08</t>
  </si>
  <si>
    <t>1471 / 1410 / 1561 / 6441</t>
  </si>
  <si>
    <t>Renovação Adobe</t>
  </si>
  <si>
    <t>$ 12814154 / 12815875</t>
  </si>
  <si>
    <t>$ 5.379,68 / R$ 30.861,02</t>
  </si>
  <si>
    <t xml:space="preserve"> 4500738007 /  4500738008</t>
  </si>
  <si>
    <t>1000217950 / 1000217953</t>
  </si>
  <si>
    <t>Renovação Veeam</t>
  </si>
  <si>
    <t>$ 12816424 / 12818969</t>
  </si>
  <si>
    <t>$ 27.628,72</t>
  </si>
  <si>
    <t>Renovação CorelDRAW</t>
  </si>
  <si>
    <t>$ 12816425 / 0012819639</t>
  </si>
  <si>
    <t>$ 592,60</t>
  </si>
  <si>
    <t>DHCP HEADSET</t>
  </si>
  <si>
    <t>INFRA MULTIMIDIA</t>
  </si>
  <si>
    <t>12821150 / 0012822744</t>
  </si>
  <si>
    <t>LICENÇAS FORTIGATE</t>
  </si>
  <si>
    <t>12822889 / 12822890 / 12822891</t>
  </si>
  <si>
    <t>ASSINATURAS VOGEL</t>
  </si>
  <si>
    <t>12827010 / 12827012</t>
  </si>
  <si>
    <t>4500750233 / 4500750234</t>
  </si>
  <si>
    <t>1000224442 / 1000224443</t>
  </si>
  <si>
    <t xml:space="preserve">Dados de acesso aos portais  de telecom </t>
  </si>
  <si>
    <t>OI - Matriz 3333-4333 (https://www.oicontasb2b.com.br/#/oi/login)</t>
  </si>
  <si>
    <t xml:space="preserve">Login: </t>
  </si>
  <si>
    <t xml:space="preserve">Thiago.silva@esab.com.br </t>
  </si>
  <si>
    <t xml:space="preserve">Senha: </t>
  </si>
  <si>
    <t>Esabti123</t>
  </si>
  <si>
    <t>OI - Porto Alegre (https://www.oicontasb2b.com.br/#/oi/login)</t>
  </si>
  <si>
    <t>faturas.ti@esab.com.br</t>
  </si>
  <si>
    <t>Colfax@2019</t>
  </si>
  <si>
    <t>Algar Telecom (https://algartelecom.com.br/AreaCliente/autenticacao)</t>
  </si>
  <si>
    <t>Esab@2019</t>
  </si>
  <si>
    <t>Lan to Lan Condor - Algar Telecom (https://algartelecom.com.br/AreaCliente/autenticacao)</t>
  </si>
  <si>
    <t>Esab@2023</t>
  </si>
  <si>
    <t>Embratel (https://webebt01.embratel.com.br/embratelonline/)</t>
  </si>
  <si>
    <t>EOL7581445</t>
  </si>
  <si>
    <t xml:space="preserve">Senha </t>
  </si>
  <si>
    <t>esab@2025</t>
  </si>
  <si>
    <t xml:space="preserve">Vogel </t>
  </si>
  <si>
    <t>Esab@2022</t>
  </si>
  <si>
    <t>BSP EMBRATEL</t>
  </si>
  <si>
    <t xml:space="preserve">https://nfe.prefeitura.sp.gov.br/rps.aspx </t>
  </si>
  <si>
    <t>4500752472 / 4500752702 / 4500752474 / 4500752475 / 4500752476 / 4500752477</t>
  </si>
  <si>
    <t>4500752762 / 4500752878</t>
  </si>
  <si>
    <t>1000225657 / 1000225658 / 1000225697 / 1000225698</t>
  </si>
  <si>
    <t>5000000851 / 1000225771 / 1000224869</t>
  </si>
  <si>
    <t>4500751510 / 4500753097 / 4500751501</t>
  </si>
  <si>
    <t>S</t>
  </si>
  <si>
    <t>4500751509 / 4500753155</t>
  </si>
  <si>
    <t xml:space="preserve">5000000838 / 5000003450 </t>
  </si>
  <si>
    <t>Internet Unidade Salvador - 000501664211 (ID 8128601)</t>
  </si>
  <si>
    <t xml:space="preserve">Internet Matriz - 000501664009 </t>
  </si>
  <si>
    <t xml:space="preserve">Internet Site II - 000501664211 </t>
  </si>
  <si>
    <t>VENCIMENTO (DIA)</t>
  </si>
  <si>
    <t>POA 3871 /  1576</t>
  </si>
  <si>
    <t>POA 3774 / 1574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</si>
</sst>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&quot;R$&quot;\ #,##0.00"/>
    <numFmt numFmtId="166" formatCode="[$-416]d\-mmm;@"/>
    <numFmt numFmtId="167" formatCode="_([$€-2]\ * #,##0.0_);_([$€-2]\ * \(#,##0.0\);_([$€-2]\ * &quot;-&quot;??_);_(@_)"/>
    <numFmt numFmtId="168" formatCode="[$$-409]#,##0.0"/>
    <numFmt numFmtId="169" formatCode="_-[$R$-416]\ * #,##0.00_-;\-[$R$-416]\ * #,##0.00_-;_-[$R$-416]\ * &quot;-&quot;??_-;_-@_-"/>
    <numFmt numFmtId="170" formatCode="00000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Aptos Black"/>
      <family val="2"/>
    </font>
    <font>
      <b/>
      <sz val="24"/>
      <color theme="1"/>
      <name val="Aptos Narrow"/>
      <family val="2"/>
      <scheme val="minor"/>
    </font>
    <font>
      <b/>
      <sz val="24"/>
      <color theme="1"/>
      <name val="72 Black"/>
      <family val="2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Arial"/>
      <family val="2"/>
    </font>
    <font>
      <b/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9C6500"/>
      <name val="Aptos Narrow"/>
      <family val="2"/>
      <scheme val="minor"/>
    </font>
    <font>
      <sz val="8"/>
      <name val="Aptos Narrow"/>
      <family val="2"/>
      <scheme val="minor"/>
    </font>
    <font>
      <sz val="24"/>
      <color theme="1"/>
      <name val="72 Black"/>
      <family val="2"/>
    </font>
    <font>
      <sz val="11"/>
      <color rgb="FFFF0000"/>
      <name val="Aptos Narrow"/>
      <family val="2"/>
      <scheme val="minor"/>
    </font>
    <font>
      <sz val="11"/>
      <color rgb="FF444444"/>
      <name val="Calibri"/>
      <family val="2"/>
    </font>
    <font>
      <sz val="26"/>
      <color theme="0"/>
      <name val="Aptos Narrow"/>
      <family val="2"/>
      <scheme val="minor"/>
    </font>
    <font>
      <sz val="22"/>
      <color rgb="FFFFFF00"/>
      <name val="Aptos Narrow"/>
      <family val="2"/>
      <scheme val="minor"/>
    </font>
    <font>
      <sz val="20"/>
      <color rgb="FFFFFF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0"/>
      <name val="Arial"/>
      <family val="2"/>
    </font>
    <font>
      <i/>
      <sz val="11"/>
      <color rgb="FF9C6500"/>
      <name val="Aptos Narrow"/>
      <family val="2"/>
      <scheme val="minor"/>
    </font>
    <font>
      <sz val="11"/>
      <color theme="1"/>
      <name val="Segoe U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</font>
    <font>
      <sz val="11"/>
      <color theme="1"/>
      <name val="Aptos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haroni"/>
      <charset val="177"/>
    </font>
    <font>
      <sz val="14"/>
      <color rgb="FF000000"/>
      <name val="72 Black"/>
      <family val="2"/>
    </font>
    <font>
      <sz val="16"/>
      <color rgb="FF000000"/>
      <name val="72 Black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  <bgColor rgb="FF000000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18" applyNumberFormat="0" applyAlignment="0" applyProtection="0"/>
    <xf numFmtId="0" fontId="12" fillId="0" borderId="0" applyNumberFormat="0" applyFill="0" applyBorder="0" applyAlignment="0" applyProtection="0"/>
    <xf numFmtId="0" fontId="18" fillId="6" borderId="0" applyNumberFormat="0" applyBorder="0" applyAlignment="0" applyProtection="0"/>
    <xf numFmtId="44" fontId="7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691">
    <xf numFmtId="0" fontId="0" fillId="0" borderId="0" xfId="0"/>
    <xf numFmtId="0" fontId="0" fillId="0" borderId="9" xfId="0" applyBorder="1"/>
    <xf numFmtId="0" fontId="2" fillId="0" borderId="9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2" borderId="0" xfId="0" applyFill="1"/>
    <xf numFmtId="0" fontId="0" fillId="2" borderId="11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 applyAlignment="1">
      <alignment horizontal="center" vertical="center"/>
    </xf>
    <xf numFmtId="0" fontId="0" fillId="3" borderId="5" xfId="0" applyFill="1" applyBorder="1"/>
    <xf numFmtId="0" fontId="1" fillId="3" borderId="4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 vertical="center"/>
    </xf>
    <xf numFmtId="0" fontId="0" fillId="3" borderId="4" xfId="0" applyFill="1" applyBorder="1" applyAlignment="1">
      <alignment horizontal="right" vertical="center"/>
    </xf>
    <xf numFmtId="0" fontId="0" fillId="3" borderId="0" xfId="0" applyFill="1"/>
    <xf numFmtId="0" fontId="0" fillId="3" borderId="4" xfId="0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" fillId="0" borderId="0" xfId="0" applyFont="1"/>
    <xf numFmtId="0" fontId="1" fillId="0" borderId="3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5" fillId="3" borderId="29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165" fontId="1" fillId="0" borderId="32" xfId="0" applyNumberFormat="1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2" fillId="0" borderId="43" xfId="0" applyFont="1" applyBorder="1" applyAlignment="1">
      <alignment horizontal="left" vertical="center" wrapText="1"/>
    </xf>
    <xf numFmtId="0" fontId="2" fillId="0" borderId="43" xfId="0" applyFont="1" applyBorder="1" applyAlignment="1">
      <alignment horizontal="center" vertical="center" wrapText="1"/>
    </xf>
    <xf numFmtId="0" fontId="9" fillId="5" borderId="45" xfId="5" applyBorder="1" applyAlignment="1">
      <alignment horizontal="center" vertical="center" wrapText="1"/>
    </xf>
    <xf numFmtId="165" fontId="9" fillId="5" borderId="45" xfId="5" applyNumberFormat="1" applyBorder="1" applyAlignment="1">
      <alignment horizontal="center" vertical="center" wrapText="1"/>
    </xf>
    <xf numFmtId="16" fontId="8" fillId="4" borderId="45" xfId="4" applyNumberFormat="1" applyBorder="1" applyAlignment="1">
      <alignment horizontal="center" vertical="center" wrapText="1"/>
    </xf>
    <xf numFmtId="16" fontId="9" fillId="5" borderId="45" xfId="5" applyNumberFormat="1" applyBorder="1" applyAlignment="1">
      <alignment horizontal="center" vertical="center" wrapText="1"/>
    </xf>
    <xf numFmtId="16" fontId="8" fillId="4" borderId="45" xfId="4" applyNumberFormat="1" applyBorder="1" applyAlignment="1">
      <alignment horizontal="center" vertical="center"/>
    </xf>
    <xf numFmtId="0" fontId="8" fillId="9" borderId="45" xfId="4" applyFill="1" applyBorder="1" applyAlignment="1">
      <alignment horizontal="center" vertical="center" wrapText="1"/>
    </xf>
    <xf numFmtId="0" fontId="9" fillId="5" borderId="45" xfId="5" applyNumberFormat="1" applyBorder="1" applyAlignment="1">
      <alignment horizontal="center" vertical="center"/>
    </xf>
    <xf numFmtId="165" fontId="9" fillId="5" borderId="43" xfId="5" applyNumberFormat="1" applyBorder="1" applyAlignment="1">
      <alignment horizontal="center" vertical="center" wrapText="1"/>
    </xf>
    <xf numFmtId="0" fontId="9" fillId="5" borderId="43" xfId="5" applyBorder="1" applyAlignment="1">
      <alignment horizontal="center" vertical="center" wrapText="1"/>
    </xf>
    <xf numFmtId="16" fontId="8" fillId="4" borderId="46" xfId="4" applyNumberFormat="1" applyBorder="1" applyAlignment="1">
      <alignment horizontal="center" vertical="center" wrapText="1"/>
    </xf>
    <xf numFmtId="16" fontId="9" fillId="5" borderId="9" xfId="5" applyNumberFormat="1" applyBorder="1" applyAlignment="1">
      <alignment horizontal="center" vertical="center" wrapText="1"/>
    </xf>
    <xf numFmtId="0" fontId="9" fillId="5" borderId="9" xfId="5" applyBorder="1" applyAlignment="1">
      <alignment horizontal="center" vertical="center" wrapText="1"/>
    </xf>
    <xf numFmtId="165" fontId="9" fillId="5" borderId="9" xfId="5" applyNumberFormat="1" applyBorder="1" applyAlignment="1">
      <alignment horizontal="center" vertical="center" wrapText="1"/>
    </xf>
    <xf numFmtId="0" fontId="9" fillId="5" borderId="47" xfId="5" applyBorder="1" applyAlignment="1">
      <alignment horizontal="center" vertical="center" wrapText="1"/>
    </xf>
    <xf numFmtId="16" fontId="8" fillId="4" borderId="27" xfId="4" applyNumberFormat="1" applyBorder="1" applyAlignment="1">
      <alignment horizontal="center" vertical="center" wrapText="1"/>
    </xf>
    <xf numFmtId="16" fontId="9" fillId="5" borderId="48" xfId="5" applyNumberFormat="1" applyBorder="1" applyAlignment="1">
      <alignment horizontal="center" vertical="center" wrapText="1"/>
    </xf>
    <xf numFmtId="0" fontId="9" fillId="5" borderId="42" xfId="5" applyBorder="1" applyAlignment="1">
      <alignment horizontal="center" vertical="center" wrapText="1"/>
    </xf>
    <xf numFmtId="16" fontId="9" fillId="5" borderId="44" xfId="5" applyNumberFormat="1" applyBorder="1" applyAlignment="1">
      <alignment horizontal="center" vertical="center" wrapText="1"/>
    </xf>
    <xf numFmtId="0" fontId="9" fillId="5" borderId="42" xfId="5" applyBorder="1" applyAlignment="1">
      <alignment horizontal="center" vertical="center"/>
    </xf>
    <xf numFmtId="165" fontId="9" fillId="5" borderId="43" xfId="5" applyNumberFormat="1" applyBorder="1" applyAlignment="1">
      <alignment horizontal="center" vertical="center"/>
    </xf>
    <xf numFmtId="0" fontId="9" fillId="5" borderId="43" xfId="5" applyBorder="1" applyAlignment="1">
      <alignment horizontal="center" vertical="center"/>
    </xf>
    <xf numFmtId="16" fontId="8" fillId="4" borderId="46" xfId="4" applyNumberFormat="1" applyBorder="1" applyAlignment="1">
      <alignment horizontal="center" vertical="center"/>
    </xf>
    <xf numFmtId="16" fontId="9" fillId="5" borderId="43" xfId="5" applyNumberFormat="1" applyBorder="1" applyAlignment="1">
      <alignment horizontal="center" vertical="center"/>
    </xf>
    <xf numFmtId="0" fontId="9" fillId="5" borderId="49" xfId="5" applyBorder="1" applyAlignment="1">
      <alignment horizontal="center" vertical="center"/>
    </xf>
    <xf numFmtId="16" fontId="9" fillId="5" borderId="46" xfId="5" applyNumberFormat="1" applyBorder="1" applyAlignment="1">
      <alignment horizontal="center" vertical="center"/>
    </xf>
    <xf numFmtId="16" fontId="9" fillId="5" borderId="44" xfId="5" applyNumberFormat="1" applyBorder="1" applyAlignment="1">
      <alignment horizontal="center" vertical="center"/>
    </xf>
    <xf numFmtId="165" fontId="9" fillId="5" borderId="9" xfId="5" applyNumberFormat="1" applyBorder="1" applyAlignment="1">
      <alignment horizontal="center" vertical="center"/>
    </xf>
    <xf numFmtId="7" fontId="9" fillId="5" borderId="43" xfId="5" applyNumberFormat="1" applyBorder="1" applyAlignment="1">
      <alignment horizontal="center" vertical="center"/>
    </xf>
    <xf numFmtId="0" fontId="9" fillId="5" borderId="43" xfId="5" applyNumberFormat="1" applyBorder="1" applyAlignment="1">
      <alignment horizontal="center" vertical="center"/>
    </xf>
    <xf numFmtId="16" fontId="8" fillId="4" borderId="33" xfId="4" applyNumberFormat="1" applyBorder="1" applyAlignment="1">
      <alignment horizontal="center" vertical="center"/>
    </xf>
    <xf numFmtId="0" fontId="9" fillId="5" borderId="46" xfId="5" applyNumberFormat="1" applyBorder="1" applyAlignment="1">
      <alignment horizontal="center" vertical="center"/>
    </xf>
    <xf numFmtId="0" fontId="2" fillId="0" borderId="50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3" borderId="51" xfId="0" applyFont="1" applyFill="1" applyBorder="1" applyAlignment="1">
      <alignment horizontal="center" vertical="center" wrapText="1"/>
    </xf>
    <xf numFmtId="16" fontId="8" fillId="4" borderId="52" xfId="4" applyNumberFormat="1" applyBorder="1" applyAlignment="1">
      <alignment horizontal="center" vertical="center" wrapText="1"/>
    </xf>
    <xf numFmtId="0" fontId="9" fillId="5" borderId="53" xfId="5" applyBorder="1" applyAlignment="1">
      <alignment horizontal="center" vertical="center" wrapText="1"/>
    </xf>
    <xf numFmtId="16" fontId="8" fillId="4" borderId="54" xfId="4" applyNumberFormat="1" applyBorder="1" applyAlignment="1">
      <alignment horizontal="center" vertical="center" wrapText="1"/>
    </xf>
    <xf numFmtId="16" fontId="9" fillId="5" borderId="55" xfId="5" applyNumberFormat="1" applyBorder="1" applyAlignment="1">
      <alignment horizontal="center" vertical="center" wrapText="1"/>
    </xf>
    <xf numFmtId="0" fontId="9" fillId="5" borderId="50" xfId="5" applyBorder="1" applyAlignment="1">
      <alignment horizontal="center" vertical="center" wrapText="1"/>
    </xf>
    <xf numFmtId="165" fontId="9" fillId="5" borderId="54" xfId="5" applyNumberFormat="1" applyBorder="1" applyAlignment="1">
      <alignment horizontal="center" vertical="center" wrapText="1"/>
    </xf>
    <xf numFmtId="16" fontId="8" fillId="4" borderId="56" xfId="4" applyNumberFormat="1" applyBorder="1" applyAlignment="1">
      <alignment horizontal="center" vertical="center" wrapText="1"/>
    </xf>
    <xf numFmtId="16" fontId="9" fillId="5" borderId="57" xfId="5" applyNumberFormat="1" applyBorder="1" applyAlignment="1">
      <alignment horizontal="center" vertical="center" wrapText="1"/>
    </xf>
    <xf numFmtId="0" fontId="9" fillId="5" borderId="50" xfId="5" applyBorder="1" applyAlignment="1">
      <alignment horizontal="center" vertical="center"/>
    </xf>
    <xf numFmtId="165" fontId="9" fillId="5" borderId="54" xfId="5" applyNumberFormat="1" applyBorder="1" applyAlignment="1">
      <alignment horizontal="center" vertical="center"/>
    </xf>
    <xf numFmtId="0" fontId="9" fillId="5" borderId="9" xfId="5" applyBorder="1" applyAlignment="1">
      <alignment horizontal="center" vertical="center"/>
    </xf>
    <xf numFmtId="16" fontId="8" fillId="4" borderId="56" xfId="4" applyNumberFormat="1" applyBorder="1" applyAlignment="1">
      <alignment horizontal="center" vertical="center"/>
    </xf>
    <xf numFmtId="16" fontId="9" fillId="5" borderId="56" xfId="5" applyNumberFormat="1" applyBorder="1" applyAlignment="1">
      <alignment horizontal="center" vertical="center"/>
    </xf>
    <xf numFmtId="16" fontId="9" fillId="5" borderId="52" xfId="5" applyNumberFormat="1" applyBorder="1" applyAlignment="1">
      <alignment horizontal="center" vertical="center"/>
    </xf>
    <xf numFmtId="16" fontId="9" fillId="5" borderId="51" xfId="5" applyNumberFormat="1" applyBorder="1" applyAlignment="1">
      <alignment horizontal="center" vertical="center"/>
    </xf>
    <xf numFmtId="16" fontId="8" fillId="4" borderId="52" xfId="4" applyNumberFormat="1" applyBorder="1" applyAlignment="1">
      <alignment horizontal="center" vertical="center"/>
    </xf>
    <xf numFmtId="0" fontId="9" fillId="5" borderId="9" xfId="5" applyNumberFormat="1" applyBorder="1" applyAlignment="1">
      <alignment horizontal="center" vertical="center"/>
    </xf>
    <xf numFmtId="16" fontId="8" fillId="4" borderId="36" xfId="4" applyNumberFormat="1" applyBorder="1" applyAlignment="1">
      <alignment horizontal="center" vertical="center"/>
    </xf>
    <xf numFmtId="0" fontId="9" fillId="5" borderId="58" xfId="5" applyBorder="1" applyAlignment="1">
      <alignment horizontal="center" vertical="center"/>
    </xf>
    <xf numFmtId="0" fontId="9" fillId="5" borderId="54" xfId="5" applyBorder="1" applyAlignment="1">
      <alignment horizontal="center" vertical="center"/>
    </xf>
    <xf numFmtId="0" fontId="9" fillId="5" borderId="45" xfId="5" applyBorder="1" applyAlignment="1">
      <alignment horizontal="center" vertical="center"/>
    </xf>
    <xf numFmtId="165" fontId="9" fillId="5" borderId="45" xfId="5" applyNumberFormat="1" applyBorder="1" applyAlignment="1">
      <alignment horizontal="center" vertical="center"/>
    </xf>
    <xf numFmtId="0" fontId="8" fillId="4" borderId="45" xfId="4" applyBorder="1" applyAlignment="1">
      <alignment horizontal="center" vertical="center" wrapText="1"/>
    </xf>
    <xf numFmtId="0" fontId="8" fillId="4" borderId="9" xfId="4" applyBorder="1" applyAlignment="1">
      <alignment horizontal="center" vertical="center" wrapText="1"/>
    </xf>
    <xf numFmtId="16" fontId="8" fillId="4" borderId="9" xfId="4" applyNumberFormat="1" applyBorder="1" applyAlignment="1">
      <alignment horizontal="center" vertical="center" wrapText="1"/>
    </xf>
    <xf numFmtId="165" fontId="8" fillId="9" borderId="9" xfId="5" applyNumberFormat="1" applyFont="1" applyFill="1" applyBorder="1" applyAlignment="1">
      <alignment horizontal="center" vertical="center" wrapText="1"/>
    </xf>
    <xf numFmtId="0" fontId="9" fillId="5" borderId="49" xfId="5" applyBorder="1" applyAlignment="1">
      <alignment horizontal="center" vertical="center" wrapText="1"/>
    </xf>
    <xf numFmtId="16" fontId="8" fillId="9" borderId="49" xfId="5" applyNumberFormat="1" applyFont="1" applyFill="1" applyBorder="1" applyAlignment="1">
      <alignment horizontal="center" vertical="center" wrapText="1"/>
    </xf>
    <xf numFmtId="0" fontId="9" fillId="5" borderId="53" xfId="5" applyBorder="1" applyAlignment="1">
      <alignment horizontal="center" vertical="center"/>
    </xf>
    <xf numFmtId="165" fontId="8" fillId="4" borderId="9" xfId="4" applyNumberFormat="1" applyBorder="1" applyAlignment="1">
      <alignment horizontal="center" vertical="center"/>
    </xf>
    <xf numFmtId="0" fontId="10" fillId="0" borderId="50" xfId="6" applyFill="1" applyBorder="1" applyAlignment="1">
      <alignment horizontal="left" vertical="center" wrapText="1"/>
    </xf>
    <xf numFmtId="0" fontId="10" fillId="0" borderId="9" xfId="6" applyFill="1" applyBorder="1" applyAlignment="1">
      <alignment horizontal="left" vertical="center" wrapText="1"/>
    </xf>
    <xf numFmtId="0" fontId="10" fillId="6" borderId="9" xfId="6" applyBorder="1" applyAlignment="1">
      <alignment horizontal="left" vertical="center" wrapText="1"/>
    </xf>
    <xf numFmtId="0" fontId="10" fillId="6" borderId="9" xfId="6" applyBorder="1" applyAlignment="1">
      <alignment horizontal="center" vertical="center" wrapText="1"/>
    </xf>
    <xf numFmtId="165" fontId="10" fillId="6" borderId="9" xfId="6" applyNumberFormat="1" applyBorder="1" applyAlignment="1">
      <alignment horizontal="center" vertical="center"/>
    </xf>
    <xf numFmtId="0" fontId="10" fillId="6" borderId="0" xfId="6"/>
    <xf numFmtId="0" fontId="9" fillId="5" borderId="35" xfId="5" applyBorder="1" applyAlignment="1">
      <alignment horizontal="center" vertical="center" wrapText="1"/>
    </xf>
    <xf numFmtId="165" fontId="8" fillId="9" borderId="35" xfId="5" applyNumberFormat="1" applyFont="1" applyFill="1" applyBorder="1" applyAlignment="1">
      <alignment horizontal="center" vertical="center" wrapText="1"/>
    </xf>
    <xf numFmtId="165" fontId="9" fillId="5" borderId="35" xfId="5" applyNumberFormat="1" applyBorder="1" applyAlignment="1">
      <alignment horizontal="center" vertical="center" wrapText="1"/>
    </xf>
    <xf numFmtId="0" fontId="9" fillId="5" borderId="59" xfId="5" applyBorder="1" applyAlignment="1">
      <alignment horizontal="center" vertical="center" wrapText="1"/>
    </xf>
    <xf numFmtId="16" fontId="8" fillId="9" borderId="59" xfId="5" applyNumberFormat="1" applyFont="1" applyFill="1" applyBorder="1" applyAlignment="1">
      <alignment horizontal="center" vertical="center" wrapText="1"/>
    </xf>
    <xf numFmtId="0" fontId="9" fillId="5" borderId="21" xfId="5" applyBorder="1" applyAlignment="1">
      <alignment horizontal="center" vertical="center"/>
    </xf>
    <xf numFmtId="16" fontId="8" fillId="9" borderId="9" xfId="5" applyNumberFormat="1" applyFont="1" applyFill="1" applyBorder="1" applyAlignment="1">
      <alignment horizontal="center" vertical="center" wrapText="1"/>
    </xf>
    <xf numFmtId="0" fontId="2" fillId="0" borderId="50" xfId="0" applyFont="1" applyBorder="1" applyAlignment="1">
      <alignment horizontal="left" vertical="center"/>
    </xf>
    <xf numFmtId="0" fontId="3" fillId="0" borderId="51" xfId="0" applyFont="1" applyBorder="1" applyAlignment="1">
      <alignment horizontal="center" vertical="center"/>
    </xf>
    <xf numFmtId="16" fontId="9" fillId="5" borderId="45" xfId="5" applyNumberFormat="1" applyBorder="1" applyAlignment="1">
      <alignment horizontal="center" vertical="center"/>
    </xf>
    <xf numFmtId="8" fontId="8" fillId="4" borderId="45" xfId="4" applyNumberFormat="1" applyBorder="1" applyAlignment="1">
      <alignment horizontal="center" vertical="center" wrapText="1"/>
    </xf>
    <xf numFmtId="0" fontId="8" fillId="9" borderId="45" xfId="5" applyFont="1" applyFill="1" applyBorder="1" applyAlignment="1">
      <alignment horizontal="center" vertical="center"/>
    </xf>
    <xf numFmtId="16" fontId="8" fillId="4" borderId="9" xfId="4" applyNumberFormat="1" applyBorder="1" applyAlignment="1">
      <alignment horizontal="center" vertical="center"/>
    </xf>
    <xf numFmtId="165" fontId="8" fillId="4" borderId="9" xfId="4" applyNumberFormat="1" applyBorder="1" applyAlignment="1">
      <alignment horizontal="center" vertical="center" wrapText="1"/>
    </xf>
    <xf numFmtId="16" fontId="9" fillId="5" borderId="51" xfId="5" applyNumberFormat="1" applyBorder="1" applyAlignment="1">
      <alignment horizontal="center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center" vertical="center" wrapText="1"/>
    </xf>
    <xf numFmtId="0" fontId="8" fillId="4" borderId="45" xfId="4" applyBorder="1" applyAlignment="1">
      <alignment horizontal="center" vertical="center"/>
    </xf>
    <xf numFmtId="0" fontId="8" fillId="9" borderId="60" xfId="5" applyFont="1" applyFill="1" applyBorder="1" applyAlignment="1">
      <alignment horizontal="center" vertical="center"/>
    </xf>
    <xf numFmtId="0" fontId="9" fillId="5" borderId="60" xfId="5" applyNumberFormat="1" applyBorder="1" applyAlignment="1">
      <alignment horizontal="center" vertical="center"/>
    </xf>
    <xf numFmtId="165" fontId="9" fillId="5" borderId="61" xfId="5" applyNumberFormat="1" applyBorder="1" applyAlignment="1">
      <alignment horizontal="center" vertical="center"/>
    </xf>
    <xf numFmtId="0" fontId="8" fillId="4" borderId="9" xfId="4" applyBorder="1" applyAlignment="1">
      <alignment horizontal="center" vertical="center"/>
    </xf>
    <xf numFmtId="0" fontId="8" fillId="4" borderId="62" xfId="4" applyBorder="1" applyAlignment="1">
      <alignment horizontal="center" vertical="center"/>
    </xf>
    <xf numFmtId="16" fontId="8" fillId="4" borderId="63" xfId="4" applyNumberFormat="1" applyBorder="1" applyAlignment="1">
      <alignment horizontal="center" vertical="center"/>
    </xf>
    <xf numFmtId="16" fontId="9" fillId="5" borderId="64" xfId="5" applyNumberFormat="1" applyBorder="1" applyAlignment="1">
      <alignment horizontal="center" vertical="center"/>
    </xf>
    <xf numFmtId="0" fontId="9" fillId="5" borderId="65" xfId="5" applyBorder="1" applyAlignment="1">
      <alignment horizontal="center" vertical="center" wrapText="1"/>
    </xf>
    <xf numFmtId="165" fontId="9" fillId="5" borderId="66" xfId="5" applyNumberFormat="1" applyBorder="1" applyAlignment="1">
      <alignment horizontal="center" vertical="center"/>
    </xf>
    <xf numFmtId="165" fontId="9" fillId="5" borderId="67" xfId="5" applyNumberFormat="1" applyBorder="1" applyAlignment="1">
      <alignment horizontal="center" vertical="center"/>
    </xf>
    <xf numFmtId="0" fontId="9" fillId="5" borderId="68" xfId="5" applyBorder="1" applyAlignment="1">
      <alignment horizontal="center" vertical="center" wrapText="1"/>
    </xf>
    <xf numFmtId="165" fontId="8" fillId="4" borderId="66" xfId="4" applyNumberFormat="1" applyBorder="1" applyAlignment="1">
      <alignment horizontal="center" vertical="center"/>
    </xf>
    <xf numFmtId="0" fontId="9" fillId="5" borderId="66" xfId="5" applyNumberFormat="1" applyBorder="1" applyAlignment="1">
      <alignment horizontal="center" vertical="center"/>
    </xf>
    <xf numFmtId="0" fontId="17" fillId="9" borderId="62" xfId="5" applyFont="1" applyFill="1" applyBorder="1" applyAlignment="1">
      <alignment horizontal="center" vertical="center"/>
    </xf>
    <xf numFmtId="0" fontId="0" fillId="8" borderId="19" xfId="0" applyFill="1" applyBorder="1"/>
    <xf numFmtId="0" fontId="3" fillId="3" borderId="58" xfId="0" applyFont="1" applyFill="1" applyBorder="1" applyAlignment="1">
      <alignment horizontal="left" vertical="center"/>
    </xf>
    <xf numFmtId="0" fontId="2" fillId="0" borderId="54" xfId="0" applyFont="1" applyBorder="1" applyAlignment="1">
      <alignment horizontal="left" vertical="center" wrapText="1"/>
    </xf>
    <xf numFmtId="0" fontId="2" fillId="0" borderId="54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164" fontId="9" fillId="5" borderId="45" xfId="5" applyNumberFormat="1" applyBorder="1" applyAlignment="1">
      <alignment horizontal="center" vertical="center" wrapText="1"/>
    </xf>
    <xf numFmtId="0" fontId="8" fillId="9" borderId="69" xfId="5" applyFont="1" applyFill="1" applyBorder="1" applyAlignment="1">
      <alignment horizontal="center" vertical="center"/>
    </xf>
    <xf numFmtId="0" fontId="9" fillId="5" borderId="69" xfId="5" applyNumberFormat="1" applyBorder="1" applyAlignment="1">
      <alignment horizontal="center" vertical="center"/>
    </xf>
    <xf numFmtId="0" fontId="8" fillId="4" borderId="43" xfId="4" applyBorder="1" applyAlignment="1">
      <alignment horizontal="center" vertical="center" wrapText="1"/>
    </xf>
    <xf numFmtId="0" fontId="3" fillId="3" borderId="50" xfId="0" applyFont="1" applyFill="1" applyBorder="1" applyAlignment="1">
      <alignment horizontal="left" vertical="center"/>
    </xf>
    <xf numFmtId="0" fontId="3" fillId="0" borderId="51" xfId="0" applyFont="1" applyBorder="1" applyAlignment="1">
      <alignment horizontal="center" vertical="center" wrapText="1"/>
    </xf>
    <xf numFmtId="16" fontId="8" fillId="9" borderId="45" xfId="5" applyNumberFormat="1" applyFont="1" applyFill="1" applyBorder="1" applyAlignment="1">
      <alignment horizontal="center" vertical="center" wrapText="1"/>
    </xf>
    <xf numFmtId="8" fontId="8" fillId="9" borderId="9" xfId="5" applyNumberFormat="1" applyFont="1" applyFill="1" applyBorder="1" applyAlignment="1">
      <alignment horizontal="center" vertical="center"/>
    </xf>
    <xf numFmtId="16" fontId="9" fillId="5" borderId="57" xfId="5" applyNumberFormat="1" applyBorder="1" applyAlignment="1">
      <alignment horizontal="center" vertical="center"/>
    </xf>
    <xf numFmtId="0" fontId="3" fillId="3" borderId="39" xfId="0" applyFont="1" applyFill="1" applyBorder="1" applyAlignment="1">
      <alignment horizontal="left" vertical="center"/>
    </xf>
    <xf numFmtId="0" fontId="3" fillId="0" borderId="37" xfId="0" applyFont="1" applyBorder="1" applyAlignment="1">
      <alignment horizontal="center" vertical="center" wrapText="1"/>
    </xf>
    <xf numFmtId="0" fontId="9" fillId="5" borderId="61" xfId="5" applyBorder="1" applyAlignment="1">
      <alignment horizontal="center" vertical="center" wrapText="1"/>
    </xf>
    <xf numFmtId="165" fontId="9" fillId="5" borderId="61" xfId="5" applyNumberFormat="1" applyBorder="1" applyAlignment="1">
      <alignment horizontal="center" vertical="center" wrapText="1"/>
    </xf>
    <xf numFmtId="16" fontId="8" fillId="4" borderId="61" xfId="4" applyNumberFormat="1" applyBorder="1" applyAlignment="1">
      <alignment horizontal="center" vertical="center" wrapText="1"/>
    </xf>
    <xf numFmtId="16" fontId="9" fillId="5" borderId="61" xfId="5" applyNumberFormat="1" applyBorder="1" applyAlignment="1">
      <alignment horizontal="center" vertical="center" wrapText="1"/>
    </xf>
    <xf numFmtId="0" fontId="8" fillId="4" borderId="61" xfId="4" applyBorder="1" applyAlignment="1">
      <alignment horizontal="center" vertical="center"/>
    </xf>
    <xf numFmtId="16" fontId="8" fillId="9" borderId="61" xfId="5" applyNumberFormat="1" applyFont="1" applyFill="1" applyBorder="1" applyAlignment="1">
      <alignment horizontal="center" vertical="center" wrapText="1"/>
    </xf>
    <xf numFmtId="0" fontId="9" fillId="5" borderId="61" xfId="5" applyNumberFormat="1" applyBorder="1" applyAlignment="1">
      <alignment horizontal="center" vertical="center"/>
    </xf>
    <xf numFmtId="8" fontId="0" fillId="9" borderId="0" xfId="0" applyNumberFormat="1" applyFill="1" applyAlignment="1">
      <alignment horizontal="center" vertical="center"/>
    </xf>
    <xf numFmtId="165" fontId="9" fillId="5" borderId="35" xfId="5" applyNumberFormat="1" applyBorder="1" applyAlignment="1">
      <alignment horizontal="center" vertical="center"/>
    </xf>
    <xf numFmtId="0" fontId="9" fillId="5" borderId="35" xfId="5" applyBorder="1" applyAlignment="1">
      <alignment horizontal="center" vertical="center"/>
    </xf>
    <xf numFmtId="0" fontId="8" fillId="4" borderId="35" xfId="4" applyBorder="1" applyAlignment="1">
      <alignment horizontal="center" vertical="center"/>
    </xf>
    <xf numFmtId="16" fontId="8" fillId="4" borderId="23" xfId="4" applyNumberFormat="1" applyBorder="1" applyAlignment="1">
      <alignment horizontal="center" vertical="center" wrapText="1"/>
    </xf>
    <xf numFmtId="8" fontId="8" fillId="9" borderId="0" xfId="0" applyNumberFormat="1" applyFont="1" applyFill="1" applyAlignment="1">
      <alignment horizontal="center" vertical="center"/>
    </xf>
    <xf numFmtId="0" fontId="8" fillId="4" borderId="22" xfId="4" applyBorder="1" applyAlignment="1">
      <alignment horizontal="center" vertical="center" wrapText="1"/>
    </xf>
    <xf numFmtId="16" fontId="9" fillId="5" borderId="24" xfId="5" applyNumberFormat="1" applyBorder="1" applyAlignment="1">
      <alignment horizontal="center" vertical="center" wrapText="1"/>
    </xf>
    <xf numFmtId="0" fontId="9" fillId="5" borderId="40" xfId="5" applyBorder="1" applyAlignment="1">
      <alignment horizontal="center" vertical="center"/>
    </xf>
    <xf numFmtId="165" fontId="9" fillId="5" borderId="22" xfId="5" applyNumberFormat="1" applyBorder="1" applyAlignment="1">
      <alignment horizontal="center" vertical="center"/>
    </xf>
    <xf numFmtId="0" fontId="9" fillId="5" borderId="35" xfId="5" applyNumberFormat="1" applyBorder="1" applyAlignment="1">
      <alignment horizontal="center" vertical="center"/>
    </xf>
    <xf numFmtId="0" fontId="17" fillId="9" borderId="22" xfId="5" applyFont="1" applyFill="1" applyBorder="1" applyAlignment="1">
      <alignment horizontal="center" vertical="center"/>
    </xf>
    <xf numFmtId="0" fontId="8" fillId="4" borderId="22" xfId="4" applyBorder="1" applyAlignment="1">
      <alignment horizontal="center" vertical="center"/>
    </xf>
    <xf numFmtId="16" fontId="8" fillId="4" borderId="23" xfId="4" applyNumberFormat="1" applyBorder="1" applyAlignment="1">
      <alignment horizontal="center" vertical="center"/>
    </xf>
    <xf numFmtId="0" fontId="2" fillId="0" borderId="9" xfId="1" applyBorder="1" applyAlignment="1">
      <alignment vertical="center" wrapText="1"/>
    </xf>
    <xf numFmtId="16" fontId="9" fillId="5" borderId="9" xfId="5" applyNumberFormat="1" applyBorder="1" applyAlignment="1">
      <alignment horizontal="center" vertical="center"/>
    </xf>
    <xf numFmtId="0" fontId="2" fillId="0" borderId="58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4" xfId="0" applyFont="1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9" fillId="5" borderId="54" xfId="5" applyBorder="1" applyAlignment="1">
      <alignment horizontal="center" vertical="center" wrapText="1"/>
    </xf>
    <xf numFmtId="0" fontId="9" fillId="5" borderId="70" xfId="5" applyBorder="1" applyAlignment="1">
      <alignment horizontal="center" vertical="center" wrapText="1"/>
    </xf>
    <xf numFmtId="0" fontId="9" fillId="5" borderId="70" xfId="5" applyBorder="1" applyAlignment="1">
      <alignment horizontal="center" vertical="center"/>
    </xf>
    <xf numFmtId="0" fontId="9" fillId="5" borderId="54" xfId="5" applyNumberForma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16" fontId="8" fillId="9" borderId="45" xfId="5" applyNumberFormat="1" applyFont="1" applyFill="1" applyBorder="1" applyAlignment="1">
      <alignment horizontal="center" vertical="center"/>
    </xf>
    <xf numFmtId="0" fontId="9" fillId="5" borderId="38" xfId="5" applyBorder="1" applyAlignment="1">
      <alignment horizontal="center" vertical="center"/>
    </xf>
    <xf numFmtId="0" fontId="10" fillId="6" borderId="9" xfId="6" applyBorder="1"/>
    <xf numFmtId="0" fontId="2" fillId="0" borderId="9" xfId="1" applyBorder="1" applyAlignment="1">
      <alignment horizontal="left" vertical="center"/>
    </xf>
    <xf numFmtId="0" fontId="2" fillId="0" borderId="9" xfId="1" applyBorder="1" applyAlignment="1">
      <alignment horizontal="center" vertical="center"/>
    </xf>
    <xf numFmtId="0" fontId="8" fillId="9" borderId="9" xfId="5" applyFont="1" applyFill="1" applyBorder="1" applyAlignment="1">
      <alignment horizontal="center" vertical="center" wrapText="1"/>
    </xf>
    <xf numFmtId="16" fontId="18" fillId="6" borderId="9" xfId="9" applyNumberFormat="1" applyBorder="1" applyAlignment="1">
      <alignment horizontal="center" vertical="center"/>
    </xf>
    <xf numFmtId="0" fontId="9" fillId="5" borderId="71" xfId="5" applyBorder="1" applyAlignment="1">
      <alignment horizontal="center" vertical="center"/>
    </xf>
    <xf numFmtId="0" fontId="8" fillId="4" borderId="66" xfId="4" applyBorder="1" applyAlignment="1">
      <alignment horizontal="center" vertical="center"/>
    </xf>
    <xf numFmtId="0" fontId="8" fillId="4" borderId="54" xfId="4" applyBorder="1" applyAlignment="1">
      <alignment horizontal="center" vertical="center"/>
    </xf>
    <xf numFmtId="0" fontId="18" fillId="6" borderId="9" xfId="9" applyBorder="1" applyAlignment="1">
      <alignment horizontal="center" vertical="center"/>
    </xf>
    <xf numFmtId="165" fontId="18" fillId="6" borderId="9" xfId="9" applyNumberFormat="1" applyBorder="1" applyAlignment="1">
      <alignment horizontal="center" vertical="center"/>
    </xf>
    <xf numFmtId="0" fontId="18" fillId="6" borderId="53" xfId="9" applyBorder="1" applyAlignment="1">
      <alignment horizontal="center" vertical="center"/>
    </xf>
    <xf numFmtId="0" fontId="18" fillId="6" borderId="9" xfId="9" applyNumberFormat="1" applyBorder="1" applyAlignment="1">
      <alignment horizontal="center" vertical="center"/>
    </xf>
    <xf numFmtId="0" fontId="2" fillId="3" borderId="50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165" fontId="9" fillId="5" borderId="52" xfId="5" applyNumberFormat="1" applyBorder="1" applyAlignment="1">
      <alignment horizontal="center" vertical="center"/>
    </xf>
    <xf numFmtId="0" fontId="9" fillId="5" borderId="68" xfId="5" applyBorder="1" applyAlignment="1">
      <alignment horizontal="center" vertical="center"/>
    </xf>
    <xf numFmtId="0" fontId="2" fillId="3" borderId="66" xfId="0" applyFont="1" applyFill="1" applyBorder="1" applyAlignment="1">
      <alignment horizontal="left" vertical="center"/>
    </xf>
    <xf numFmtId="0" fontId="9" fillId="5" borderId="72" xfId="5" applyBorder="1" applyAlignment="1">
      <alignment horizontal="center" vertical="center"/>
    </xf>
    <xf numFmtId="0" fontId="9" fillId="5" borderId="66" xfId="5" applyBorder="1" applyAlignment="1">
      <alignment horizontal="center" vertical="center"/>
    </xf>
    <xf numFmtId="16" fontId="8" fillId="4" borderId="66" xfId="4" applyNumberFormat="1" applyBorder="1" applyAlignment="1">
      <alignment horizontal="center" vertical="center" wrapText="1"/>
    </xf>
    <xf numFmtId="16" fontId="9" fillId="5" borderId="66" xfId="5" applyNumberForma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center"/>
    </xf>
    <xf numFmtId="0" fontId="3" fillId="0" borderId="54" xfId="0" applyFont="1" applyBorder="1" applyAlignment="1">
      <alignment horizontal="left" vertical="center"/>
    </xf>
    <xf numFmtId="0" fontId="3" fillId="0" borderId="54" xfId="0" applyFont="1" applyBorder="1" applyAlignment="1">
      <alignment horizontal="center" vertical="center"/>
    </xf>
    <xf numFmtId="16" fontId="9" fillId="5" borderId="54" xfId="5" applyNumberFormat="1" applyBorder="1" applyAlignment="1">
      <alignment horizontal="center" vertical="center" wrapText="1"/>
    </xf>
    <xf numFmtId="16" fontId="8" fillId="4" borderId="54" xfId="4" applyNumberFormat="1" applyBorder="1" applyAlignment="1">
      <alignment horizontal="center" vertical="center"/>
    </xf>
    <xf numFmtId="16" fontId="9" fillId="5" borderId="54" xfId="5" applyNumberFormat="1" applyBorder="1" applyAlignment="1">
      <alignment horizontal="center" vertical="center"/>
    </xf>
    <xf numFmtId="0" fontId="18" fillId="6" borderId="9" xfId="9" applyBorder="1" applyAlignment="1">
      <alignment horizontal="center" vertical="center" wrapText="1"/>
    </xf>
    <xf numFmtId="0" fontId="0" fillId="9" borderId="53" xfId="0" applyFill="1" applyBorder="1" applyAlignment="1">
      <alignment horizontal="center"/>
    </xf>
    <xf numFmtId="0" fontId="3" fillId="0" borderId="50" xfId="0" applyFont="1" applyBorder="1" applyAlignment="1">
      <alignment horizontal="left" vertical="center"/>
    </xf>
    <xf numFmtId="0" fontId="3" fillId="0" borderId="9" xfId="0" applyFont="1" applyBorder="1" applyAlignment="1">
      <alignment horizontal="center" vertical="center"/>
    </xf>
    <xf numFmtId="165" fontId="9" fillId="12" borderId="9" xfId="5" applyNumberFormat="1" applyFill="1" applyBorder="1" applyAlignment="1">
      <alignment horizontal="center" vertical="center"/>
    </xf>
    <xf numFmtId="0" fontId="2" fillId="0" borderId="50" xfId="1" applyBorder="1" applyAlignment="1">
      <alignment horizontal="left" vertical="center"/>
    </xf>
    <xf numFmtId="165" fontId="8" fillId="4" borderId="45" xfId="4" applyNumberFormat="1" applyBorder="1" applyAlignment="1">
      <alignment horizontal="center" vertical="center"/>
    </xf>
    <xf numFmtId="165" fontId="8" fillId="9" borderId="9" xfId="5" applyNumberFormat="1" applyFont="1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 vertical="center"/>
    </xf>
    <xf numFmtId="0" fontId="8" fillId="9" borderId="9" xfId="5" applyFont="1" applyFill="1" applyBorder="1" applyAlignment="1">
      <alignment horizontal="center" vertical="center"/>
    </xf>
    <xf numFmtId="0" fontId="8" fillId="9" borderId="53" xfId="5" applyFont="1" applyFill="1" applyBorder="1" applyAlignment="1">
      <alignment horizontal="center" vertical="center"/>
    </xf>
    <xf numFmtId="0" fontId="17" fillId="9" borderId="9" xfId="5" applyFont="1" applyFill="1" applyBorder="1" applyAlignment="1">
      <alignment horizontal="center" vertical="center"/>
    </xf>
    <xf numFmtId="0" fontId="17" fillId="9" borderId="53" xfId="5" applyFont="1" applyFill="1" applyBorder="1" applyAlignment="1">
      <alignment horizontal="center" vertical="center"/>
    </xf>
    <xf numFmtId="0" fontId="2" fillId="11" borderId="9" xfId="0" applyFont="1" applyFill="1" applyBorder="1" applyAlignment="1">
      <alignment horizontal="left" vertical="center" wrapText="1"/>
    </xf>
    <xf numFmtId="0" fontId="2" fillId="11" borderId="9" xfId="1" applyFill="1" applyBorder="1" applyAlignment="1">
      <alignment horizontal="center" vertical="center"/>
    </xf>
    <xf numFmtId="16" fontId="8" fillId="9" borderId="9" xfId="4" applyNumberFormat="1" applyFill="1" applyBorder="1" applyAlignment="1">
      <alignment horizontal="center" vertical="center"/>
    </xf>
    <xf numFmtId="0" fontId="9" fillId="5" borderId="53" xfId="5" applyNumberFormat="1" applyBorder="1" applyAlignment="1">
      <alignment horizontal="center" vertical="center"/>
    </xf>
    <xf numFmtId="16" fontId="9" fillId="5" borderId="9" xfId="2" applyNumberFormat="1" applyFont="1" applyFill="1" applyBorder="1" applyAlignment="1">
      <alignment horizontal="center" vertical="center"/>
    </xf>
    <xf numFmtId="16" fontId="9" fillId="9" borderId="9" xfId="5" applyNumberFormat="1" applyFill="1" applyBorder="1" applyAlignment="1">
      <alignment horizontal="center" vertical="center"/>
    </xf>
    <xf numFmtId="0" fontId="9" fillId="5" borderId="41" xfId="5" applyBorder="1" applyAlignment="1">
      <alignment horizontal="center" vertical="center"/>
    </xf>
    <xf numFmtId="0" fontId="2" fillId="0" borderId="73" xfId="0" applyFont="1" applyBorder="1" applyAlignment="1">
      <alignment horizontal="left" vertical="center"/>
    </xf>
    <xf numFmtId="0" fontId="2" fillId="0" borderId="66" xfId="0" applyFont="1" applyBorder="1" applyAlignment="1">
      <alignment horizontal="left" vertical="center"/>
    </xf>
    <xf numFmtId="0" fontId="2" fillId="0" borderId="66" xfId="0" applyFont="1" applyBorder="1" applyAlignment="1">
      <alignment horizontal="left" vertical="center" wrapText="1"/>
    </xf>
    <xf numFmtId="0" fontId="2" fillId="0" borderId="66" xfId="0" applyFont="1" applyBorder="1" applyAlignment="1">
      <alignment horizontal="center" vertical="center"/>
    </xf>
    <xf numFmtId="0" fontId="3" fillId="0" borderId="74" xfId="0" applyFont="1" applyBorder="1" applyAlignment="1">
      <alignment horizontal="center" vertical="center"/>
    </xf>
    <xf numFmtId="0" fontId="8" fillId="4" borderId="72" xfId="4" applyBorder="1" applyAlignment="1">
      <alignment horizontal="center" vertical="center"/>
    </xf>
    <xf numFmtId="16" fontId="8" fillId="4" borderId="66" xfId="4" applyNumberFormat="1" applyBorder="1" applyAlignment="1">
      <alignment horizontal="center" vertical="center"/>
    </xf>
    <xf numFmtId="16" fontId="9" fillId="5" borderId="66" xfId="5" applyNumberFormat="1" applyBorder="1" applyAlignment="1">
      <alignment horizontal="center" vertical="center"/>
    </xf>
    <xf numFmtId="16" fontId="9" fillId="5" borderId="74" xfId="5" applyNumberFormat="1" applyBorder="1" applyAlignment="1">
      <alignment horizontal="center" vertical="center"/>
    </xf>
    <xf numFmtId="0" fontId="0" fillId="0" borderId="0" xfId="0" applyAlignment="1">
      <alignment horizontal="left"/>
    </xf>
    <xf numFmtId="16" fontId="0" fillId="0" borderId="0" xfId="0" applyNumberFormat="1"/>
    <xf numFmtId="165" fontId="0" fillId="0" borderId="0" xfId="0" applyNumberFormat="1"/>
    <xf numFmtId="0" fontId="0" fillId="0" borderId="21" xfId="0" applyBorder="1"/>
    <xf numFmtId="0" fontId="0" fillId="0" borderId="9" xfId="0" applyBorder="1" applyAlignment="1">
      <alignment horizontal="center"/>
    </xf>
    <xf numFmtId="0" fontId="0" fillId="11" borderId="9" xfId="0" applyFill="1" applyBorder="1"/>
    <xf numFmtId="0" fontId="0" fillId="11" borderId="9" xfId="0" applyFill="1" applyBorder="1" applyAlignment="1">
      <alignment horizontal="center" vertical="center"/>
    </xf>
    <xf numFmtId="165" fontId="0" fillId="11" borderId="9" xfId="0" applyNumberForma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 wrapText="1"/>
    </xf>
    <xf numFmtId="16" fontId="0" fillId="0" borderId="9" xfId="0" applyNumberFormat="1" applyBorder="1" applyAlignment="1">
      <alignment horizontal="center" vertical="center"/>
    </xf>
    <xf numFmtId="16" fontId="0" fillId="0" borderId="9" xfId="0" applyNumberFormat="1" applyBorder="1"/>
    <xf numFmtId="165" fontId="0" fillId="0" borderId="9" xfId="0" applyNumberFormat="1" applyBorder="1"/>
    <xf numFmtId="0" fontId="0" fillId="0" borderId="9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2" fillId="0" borderId="0" xfId="8"/>
    <xf numFmtId="4" fontId="0" fillId="0" borderId="0" xfId="0" applyNumberFormat="1"/>
    <xf numFmtId="165" fontId="0" fillId="0" borderId="0" xfId="0" applyNumberFormat="1" applyAlignment="1">
      <alignment horizontal="center"/>
    </xf>
    <xf numFmtId="0" fontId="0" fillId="11" borderId="9" xfId="0" applyFill="1" applyBorder="1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1" fillId="3" borderId="0" xfId="0" applyFont="1" applyFill="1" applyAlignment="1">
      <alignment horizontal="right"/>
    </xf>
    <xf numFmtId="0" fontId="0" fillId="3" borderId="0" xfId="0" quotePrefix="1" applyFill="1"/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5" fillId="3" borderId="2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49" fontId="3" fillId="3" borderId="9" xfId="0" applyNumberFormat="1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3" fillId="9" borderId="9" xfId="0" applyNumberFormat="1" applyFont="1" applyFill="1" applyBorder="1" applyAlignment="1">
      <alignment horizontal="center" vertical="center"/>
    </xf>
    <xf numFmtId="49" fontId="3" fillId="9" borderId="53" xfId="0" applyNumberFormat="1" applyFont="1" applyFill="1" applyBorder="1" applyAlignment="1">
      <alignment horizontal="center" vertical="center"/>
    </xf>
    <xf numFmtId="0" fontId="8" fillId="4" borderId="52" xfId="4" applyBorder="1" applyAlignment="1">
      <alignment horizontal="center" vertical="center" wrapText="1"/>
    </xf>
    <xf numFmtId="0" fontId="8" fillId="4" borderId="51" xfId="4" applyBorder="1" applyAlignment="1">
      <alignment horizontal="center" vertical="center" wrapText="1"/>
    </xf>
    <xf numFmtId="0" fontId="8" fillId="4" borderId="53" xfId="4" applyBorder="1" applyAlignment="1">
      <alignment horizontal="center" vertical="center" wrapText="1"/>
    </xf>
    <xf numFmtId="0" fontId="8" fillId="4" borderId="51" xfId="4" applyBorder="1" applyAlignment="1">
      <alignment horizontal="center" vertical="center"/>
    </xf>
    <xf numFmtId="4" fontId="8" fillId="4" borderId="9" xfId="4" applyNumberFormat="1" applyBorder="1" applyAlignment="1">
      <alignment horizontal="center" vertical="center" wrapText="1"/>
    </xf>
    <xf numFmtId="16" fontId="8" fillId="4" borderId="51" xfId="4" applyNumberFormat="1" applyBorder="1" applyAlignment="1">
      <alignment horizontal="center" vertical="center" wrapText="1"/>
    </xf>
    <xf numFmtId="0" fontId="8" fillId="9" borderId="53" xfId="4" applyFill="1" applyBorder="1" applyAlignment="1">
      <alignment horizontal="center" vertical="center" wrapText="1"/>
    </xf>
    <xf numFmtId="0" fontId="8" fillId="9" borderId="9" xfId="4" applyFill="1" applyBorder="1" applyAlignment="1">
      <alignment horizontal="center" vertical="center" wrapText="1"/>
    </xf>
    <xf numFmtId="0" fontId="8" fillId="9" borderId="52" xfId="4" applyFill="1" applyBorder="1" applyAlignment="1">
      <alignment horizontal="center" vertical="center" wrapText="1"/>
    </xf>
    <xf numFmtId="0" fontId="8" fillId="9" borderId="51" xfId="4" applyFill="1" applyBorder="1" applyAlignment="1">
      <alignment horizontal="center" vertical="center" wrapText="1"/>
    </xf>
    <xf numFmtId="0" fontId="17" fillId="5" borderId="9" xfId="5" applyFont="1" applyBorder="1" applyAlignment="1">
      <alignment horizontal="center" vertical="center"/>
    </xf>
    <xf numFmtId="165" fontId="17" fillId="5" borderId="9" xfId="5" applyNumberFormat="1" applyFont="1" applyBorder="1" applyAlignment="1">
      <alignment horizontal="center" vertical="center"/>
    </xf>
    <xf numFmtId="0" fontId="17" fillId="5" borderId="9" xfId="5" applyNumberFormat="1" applyFont="1" applyBorder="1" applyAlignment="1">
      <alignment horizontal="center" vertical="center"/>
    </xf>
    <xf numFmtId="16" fontId="17" fillId="4" borderId="52" xfId="4" applyNumberFormat="1" applyFont="1" applyBorder="1" applyAlignment="1">
      <alignment horizontal="center" vertical="center"/>
    </xf>
    <xf numFmtId="16" fontId="17" fillId="4" borderId="51" xfId="4" applyNumberFormat="1" applyFont="1" applyBorder="1" applyAlignment="1">
      <alignment horizontal="center" vertical="center"/>
    </xf>
    <xf numFmtId="0" fontId="9" fillId="10" borderId="9" xfId="5" applyFill="1" applyBorder="1" applyAlignment="1">
      <alignment horizontal="center" vertical="center"/>
    </xf>
    <xf numFmtId="16" fontId="8" fillId="10" borderId="52" xfId="4" applyNumberFormat="1" applyFill="1" applyBorder="1" applyAlignment="1">
      <alignment horizontal="center" vertical="center"/>
    </xf>
    <xf numFmtId="16" fontId="9" fillId="10" borderId="51" xfId="5" applyNumberFormat="1" applyFill="1" applyBorder="1" applyAlignment="1">
      <alignment horizontal="center" vertical="center"/>
    </xf>
    <xf numFmtId="16" fontId="8" fillId="4" borderId="51" xfId="4" applyNumberFormat="1" applyBorder="1" applyAlignment="1">
      <alignment horizontal="center" vertical="center"/>
    </xf>
    <xf numFmtId="0" fontId="9" fillId="5" borderId="51" xfId="5" applyBorder="1" applyAlignment="1">
      <alignment horizontal="center" vertical="center"/>
    </xf>
    <xf numFmtId="44" fontId="9" fillId="5" borderId="9" xfId="10" applyFont="1" applyFill="1" applyBorder="1" applyAlignment="1">
      <alignment horizontal="center" vertical="center"/>
    </xf>
    <xf numFmtId="0" fontId="8" fillId="4" borderId="9" xfId="4" applyNumberFormat="1" applyBorder="1" applyAlignment="1">
      <alignment horizontal="center" vertical="center"/>
    </xf>
    <xf numFmtId="16" fontId="17" fillId="9" borderId="51" xfId="5" applyNumberFormat="1" applyFont="1" applyFill="1" applyBorder="1" applyAlignment="1">
      <alignment horizontal="center" vertical="center"/>
    </xf>
    <xf numFmtId="16" fontId="8" fillId="4" borderId="37" xfId="4" applyNumberFormat="1" applyBorder="1" applyAlignment="1">
      <alignment horizontal="center" vertical="center"/>
    </xf>
    <xf numFmtId="165" fontId="9" fillId="5" borderId="9" xfId="10" applyNumberFormat="1" applyFont="1" applyFill="1" applyBorder="1" applyAlignment="1">
      <alignment horizontal="center" vertical="center"/>
    </xf>
    <xf numFmtId="0" fontId="17" fillId="5" borderId="35" xfId="5" applyFont="1" applyBorder="1" applyAlignment="1">
      <alignment horizontal="center" vertical="center"/>
    </xf>
    <xf numFmtId="165" fontId="17" fillId="5" borderId="35" xfId="5" applyNumberFormat="1" applyFont="1" applyBorder="1" applyAlignment="1">
      <alignment horizontal="center" vertical="center"/>
    </xf>
    <xf numFmtId="0" fontId="17" fillId="5" borderId="35" xfId="5" applyNumberFormat="1" applyFont="1" applyBorder="1" applyAlignment="1">
      <alignment horizontal="center" vertical="center"/>
    </xf>
    <xf numFmtId="16" fontId="17" fillId="4" borderId="36" xfId="4" applyNumberFormat="1" applyFont="1" applyBorder="1" applyAlignment="1">
      <alignment horizontal="center" vertical="center"/>
    </xf>
    <xf numFmtId="165" fontId="9" fillId="5" borderId="35" xfId="10" applyNumberFormat="1" applyFont="1" applyFill="1" applyBorder="1" applyAlignment="1">
      <alignment horizontal="center" vertical="center"/>
    </xf>
    <xf numFmtId="0" fontId="18" fillId="6" borderId="52" xfId="9" applyBorder="1" applyAlignment="1">
      <alignment horizontal="center" vertical="center"/>
    </xf>
    <xf numFmtId="0" fontId="18" fillId="6" borderId="51" xfId="9" applyBorder="1" applyAlignment="1">
      <alignment horizontal="center" vertical="center"/>
    </xf>
    <xf numFmtId="0" fontId="18" fillId="6" borderId="53" xfId="9" applyBorder="1" applyAlignment="1">
      <alignment vertical="center"/>
    </xf>
    <xf numFmtId="0" fontId="18" fillId="6" borderId="52" xfId="9" applyBorder="1" applyAlignment="1">
      <alignment vertical="center"/>
    </xf>
    <xf numFmtId="0" fontId="18" fillId="6" borderId="51" xfId="9" applyBorder="1" applyAlignment="1">
      <alignment vertical="center"/>
    </xf>
    <xf numFmtId="0" fontId="18" fillId="6" borderId="9" xfId="9" applyBorder="1" applyAlignment="1">
      <alignment vertical="center"/>
    </xf>
    <xf numFmtId="0" fontId="8" fillId="4" borderId="9" xfId="4" applyNumberFormat="1" applyBorder="1" applyAlignment="1">
      <alignment horizontal="center" vertical="center" wrapText="1"/>
    </xf>
    <xf numFmtId="16" fontId="9" fillId="5" borderId="37" xfId="5" applyNumberFormat="1" applyBorder="1" applyAlignment="1">
      <alignment horizontal="center" vertical="center"/>
    </xf>
    <xf numFmtId="49" fontId="2" fillId="3" borderId="35" xfId="0" applyNumberFormat="1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6" fillId="8" borderId="19" xfId="0" applyFont="1" applyFill="1" applyBorder="1" applyAlignment="1">
      <alignment horizontal="left" wrapText="1"/>
    </xf>
    <xf numFmtId="49" fontId="2" fillId="0" borderId="54" xfId="0" applyNumberFormat="1" applyFont="1" applyBorder="1" applyAlignment="1">
      <alignment horizontal="center" vertical="center"/>
    </xf>
    <xf numFmtId="49" fontId="2" fillId="3" borderId="43" xfId="0" applyNumberFormat="1" applyFont="1" applyFill="1" applyBorder="1" applyAlignment="1">
      <alignment horizontal="center" vertical="center"/>
    </xf>
    <xf numFmtId="49" fontId="2" fillId="3" borderId="54" xfId="0" applyNumberFormat="1" applyFont="1" applyFill="1" applyBorder="1" applyAlignment="1">
      <alignment horizontal="center" vertical="center"/>
    </xf>
    <xf numFmtId="0" fontId="17" fillId="5" borderId="53" xfId="5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0" fontId="17" fillId="10" borderId="9" xfId="5" applyFont="1" applyFill="1" applyBorder="1" applyAlignment="1">
      <alignment horizontal="center" vertical="center"/>
    </xf>
    <xf numFmtId="165" fontId="17" fillId="10" borderId="9" xfId="5" applyNumberFormat="1" applyFont="1" applyFill="1" applyBorder="1" applyAlignment="1">
      <alignment horizontal="center" vertical="center"/>
    </xf>
    <xf numFmtId="0" fontId="17" fillId="10" borderId="9" xfId="5" applyNumberFormat="1" applyFont="1" applyFill="1" applyBorder="1" applyAlignment="1">
      <alignment horizontal="center" vertical="center"/>
    </xf>
    <xf numFmtId="16" fontId="17" fillId="10" borderId="52" xfId="4" applyNumberFormat="1" applyFont="1" applyFill="1" applyBorder="1" applyAlignment="1">
      <alignment horizontal="center" vertical="center"/>
    </xf>
    <xf numFmtId="16" fontId="17" fillId="10" borderId="51" xfId="5" applyNumberFormat="1" applyFont="1" applyFill="1" applyBorder="1" applyAlignment="1">
      <alignment horizontal="center" vertical="center"/>
    </xf>
    <xf numFmtId="0" fontId="17" fillId="10" borderId="53" xfId="5" applyFont="1" applyFill="1" applyBorder="1" applyAlignment="1">
      <alignment horizontal="center" vertical="center"/>
    </xf>
    <xf numFmtId="16" fontId="8" fillId="10" borderId="51" xfId="4" applyNumberFormat="1" applyFill="1" applyBorder="1" applyAlignment="1">
      <alignment horizontal="center" vertical="center"/>
    </xf>
    <xf numFmtId="165" fontId="9" fillId="10" borderId="9" xfId="5" applyNumberFormat="1" applyFill="1" applyBorder="1" applyAlignment="1">
      <alignment horizontal="center" vertical="center"/>
    </xf>
    <xf numFmtId="165" fontId="9" fillId="10" borderId="52" xfId="5" applyNumberFormat="1" applyFill="1" applyBorder="1" applyAlignment="1">
      <alignment horizontal="center" vertical="center"/>
    </xf>
    <xf numFmtId="0" fontId="9" fillId="10" borderId="51" xfId="5" applyFill="1" applyBorder="1" applyAlignment="1">
      <alignment horizontal="center" vertical="center"/>
    </xf>
    <xf numFmtId="0" fontId="9" fillId="10" borderId="53" xfId="5" applyFill="1" applyBorder="1" applyAlignment="1">
      <alignment horizontal="center" vertical="center"/>
    </xf>
    <xf numFmtId="0" fontId="9" fillId="10" borderId="9" xfId="5" applyNumberFormat="1" applyFill="1" applyBorder="1" applyAlignment="1">
      <alignment horizontal="center" vertical="center"/>
    </xf>
    <xf numFmtId="16" fontId="8" fillId="10" borderId="9" xfId="4" applyNumberFormat="1" applyFill="1" applyBorder="1" applyAlignment="1">
      <alignment horizontal="center" vertical="center"/>
    </xf>
    <xf numFmtId="16" fontId="9" fillId="10" borderId="9" xfId="5" applyNumberForma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17" fillId="6" borderId="9" xfId="9" applyFont="1" applyBorder="1" applyAlignment="1">
      <alignment vertical="center"/>
    </xf>
    <xf numFmtId="0" fontId="17" fillId="6" borderId="52" xfId="9" applyFont="1" applyBorder="1" applyAlignment="1">
      <alignment vertical="center"/>
    </xf>
    <xf numFmtId="0" fontId="17" fillId="6" borderId="51" xfId="9" applyFont="1" applyBorder="1" applyAlignment="1">
      <alignment vertical="center"/>
    </xf>
    <xf numFmtId="49" fontId="2" fillId="3" borderId="66" xfId="0" applyNumberFormat="1" applyFont="1" applyFill="1" applyBorder="1" applyAlignment="1">
      <alignment horizontal="center" vertical="center" wrapText="1"/>
    </xf>
    <xf numFmtId="49" fontId="2" fillId="3" borderId="66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18" fillId="6" borderId="50" xfId="9" applyBorder="1" applyAlignment="1">
      <alignment vertical="center"/>
    </xf>
    <xf numFmtId="0" fontId="18" fillId="0" borderId="0" xfId="9" applyFill="1" applyBorder="1" applyAlignment="1">
      <alignment vertical="center"/>
    </xf>
    <xf numFmtId="2" fontId="0" fillId="0" borderId="0" xfId="0" applyNumberFormat="1"/>
    <xf numFmtId="0" fontId="22" fillId="0" borderId="0" xfId="0" applyFont="1"/>
    <xf numFmtId="0" fontId="0" fillId="0" borderId="0" xfId="0" quotePrefix="1"/>
    <xf numFmtId="0" fontId="0" fillId="13" borderId="0" xfId="0" applyFill="1"/>
    <xf numFmtId="0" fontId="24" fillId="13" borderId="0" xfId="0" applyFont="1" applyFill="1"/>
    <xf numFmtId="0" fontId="0" fillId="14" borderId="0" xfId="0" applyFill="1"/>
    <xf numFmtId="44" fontId="0" fillId="2" borderId="0" xfId="0" applyNumberFormat="1" applyFill="1"/>
    <xf numFmtId="0" fontId="0" fillId="3" borderId="52" xfId="0" applyFill="1" applyBorder="1"/>
    <xf numFmtId="0" fontId="0" fillId="3" borderId="68" xfId="0" applyFill="1" applyBorder="1"/>
    <xf numFmtId="0" fontId="1" fillId="3" borderId="68" xfId="0" applyFont="1" applyFill="1" applyBorder="1" applyAlignment="1">
      <alignment horizontal="right"/>
    </xf>
    <xf numFmtId="0" fontId="0" fillId="3" borderId="68" xfId="0" applyFill="1" applyBorder="1" applyAlignment="1">
      <alignment horizontal="center" vertical="center"/>
    </xf>
    <xf numFmtId="0" fontId="0" fillId="3" borderId="68" xfId="0" quotePrefix="1" applyFill="1" applyBorder="1"/>
    <xf numFmtId="0" fontId="0" fillId="3" borderId="53" xfId="0" applyFill="1" applyBorder="1"/>
    <xf numFmtId="0" fontId="1" fillId="3" borderId="65" xfId="0" applyFont="1" applyFill="1" applyBorder="1" applyAlignment="1">
      <alignment horizontal="right"/>
    </xf>
    <xf numFmtId="0" fontId="0" fillId="3" borderId="55" xfId="0" applyFill="1" applyBorder="1"/>
    <xf numFmtId="0" fontId="1" fillId="3" borderId="65" xfId="0" applyFont="1" applyFill="1" applyBorder="1" applyAlignment="1">
      <alignment horizontal="right" vertical="center"/>
    </xf>
    <xf numFmtId="0" fontId="10" fillId="6" borderId="45" xfId="6" applyBorder="1" applyAlignment="1">
      <alignment horizontal="center" vertical="center" wrapText="1"/>
    </xf>
    <xf numFmtId="165" fontId="10" fillId="6" borderId="45" xfId="6" applyNumberFormat="1" applyBorder="1" applyAlignment="1">
      <alignment horizontal="center" vertical="center" wrapText="1"/>
    </xf>
    <xf numFmtId="16" fontId="10" fillId="6" borderId="45" xfId="6" applyNumberFormat="1" applyBorder="1" applyAlignment="1">
      <alignment horizontal="center" vertical="center" wrapText="1"/>
    </xf>
    <xf numFmtId="16" fontId="10" fillId="6" borderId="45" xfId="6" applyNumberFormat="1" applyBorder="1" applyAlignment="1">
      <alignment horizontal="center" vertical="center"/>
    </xf>
    <xf numFmtId="0" fontId="10" fillId="6" borderId="45" xfId="6" applyNumberFormat="1" applyBorder="1" applyAlignment="1">
      <alignment horizontal="center" vertical="center"/>
    </xf>
    <xf numFmtId="165" fontId="10" fillId="6" borderId="9" xfId="6" applyNumberFormat="1" applyBorder="1" applyAlignment="1">
      <alignment horizontal="center" vertical="center" wrapText="1"/>
    </xf>
    <xf numFmtId="165" fontId="9" fillId="15" borderId="54" xfId="5" applyNumberFormat="1" applyFill="1" applyBorder="1" applyAlignment="1">
      <alignment horizontal="center" vertical="center"/>
    </xf>
    <xf numFmtId="0" fontId="2" fillId="0" borderId="39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2" fillId="3" borderId="35" xfId="0" applyFont="1" applyFill="1" applyBorder="1" applyAlignment="1">
      <alignment horizontal="center" vertical="center" wrapText="1"/>
    </xf>
    <xf numFmtId="165" fontId="9" fillId="5" borderId="49" xfId="5" applyNumberFormat="1" applyBorder="1" applyAlignment="1">
      <alignment horizontal="center" vertical="center" wrapText="1"/>
    </xf>
    <xf numFmtId="0" fontId="9" fillId="5" borderId="61" xfId="5" applyBorder="1" applyAlignment="1">
      <alignment horizontal="center" vertical="center"/>
    </xf>
    <xf numFmtId="0" fontId="9" fillId="5" borderId="75" xfId="5" applyNumberFormat="1" applyBorder="1" applyAlignment="1">
      <alignment horizontal="center" vertical="center"/>
    </xf>
    <xf numFmtId="8" fontId="8" fillId="9" borderId="9" xfId="0" applyNumberFormat="1" applyFont="1" applyFill="1" applyBorder="1" applyAlignment="1">
      <alignment horizontal="center" vertical="center"/>
    </xf>
    <xf numFmtId="0" fontId="9" fillId="10" borderId="45" xfId="5" applyFill="1" applyBorder="1" applyAlignment="1">
      <alignment horizontal="center" vertical="center"/>
    </xf>
    <xf numFmtId="165" fontId="9" fillId="10" borderId="45" xfId="5" applyNumberFormat="1" applyFill="1" applyBorder="1" applyAlignment="1">
      <alignment horizontal="center" vertical="center"/>
    </xf>
    <xf numFmtId="0" fontId="17" fillId="9" borderId="45" xfId="5" applyFont="1" applyFill="1" applyBorder="1" applyAlignment="1">
      <alignment horizontal="center" vertical="center"/>
    </xf>
    <xf numFmtId="0" fontId="9" fillId="5" borderId="52" xfId="5" applyBorder="1" applyAlignment="1">
      <alignment horizontal="center" vertical="center"/>
    </xf>
    <xf numFmtId="0" fontId="18" fillId="6" borderId="54" xfId="9" applyBorder="1" applyAlignment="1">
      <alignment horizontal="center" vertical="center" wrapText="1"/>
    </xf>
    <xf numFmtId="16" fontId="18" fillId="6" borderId="54" xfId="9" applyNumberFormat="1" applyBorder="1" applyAlignment="1">
      <alignment horizontal="center" vertical="center"/>
    </xf>
    <xf numFmtId="16" fontId="8" fillId="4" borderId="70" xfId="4" applyNumberFormat="1" applyBorder="1" applyAlignment="1">
      <alignment horizontal="center" vertical="center"/>
    </xf>
    <xf numFmtId="0" fontId="10" fillId="6" borderId="0" xfId="6" applyAlignment="1">
      <alignment horizontal="center" vertical="center"/>
    </xf>
    <xf numFmtId="0" fontId="10" fillId="6" borderId="9" xfId="6" applyBorder="1" applyAlignment="1">
      <alignment horizontal="center" vertical="center"/>
    </xf>
    <xf numFmtId="16" fontId="10" fillId="9" borderId="9" xfId="6" applyNumberFormat="1" applyFill="1" applyBorder="1" applyAlignment="1">
      <alignment horizontal="center" vertical="center"/>
    </xf>
    <xf numFmtId="16" fontId="10" fillId="6" borderId="9" xfId="6" applyNumberFormat="1" applyBorder="1" applyAlignment="1">
      <alignment horizontal="center" vertical="center"/>
    </xf>
    <xf numFmtId="0" fontId="10" fillId="6" borderId="53" xfId="6" applyBorder="1" applyAlignment="1">
      <alignment horizontal="center" vertical="center"/>
    </xf>
    <xf numFmtId="0" fontId="8" fillId="4" borderId="66" xfId="4" applyBorder="1" applyAlignment="1">
      <alignment horizontal="center" vertical="center" wrapText="1"/>
    </xf>
    <xf numFmtId="16" fontId="8" fillId="10" borderId="45" xfId="4" applyNumberFormat="1" applyFill="1" applyBorder="1" applyAlignment="1">
      <alignment horizontal="center" vertical="center"/>
    </xf>
    <xf numFmtId="16" fontId="9" fillId="10" borderId="45" xfId="5" applyNumberFormat="1" applyFill="1" applyBorder="1" applyAlignment="1">
      <alignment horizontal="center" vertical="center"/>
    </xf>
    <xf numFmtId="0" fontId="9" fillId="9" borderId="45" xfId="5" applyFill="1" applyBorder="1" applyAlignment="1">
      <alignment horizontal="center" vertical="center"/>
    </xf>
    <xf numFmtId="0" fontId="0" fillId="0" borderId="50" xfId="0" applyBorder="1" applyAlignment="1">
      <alignment horizontal="left"/>
    </xf>
    <xf numFmtId="165" fontId="9" fillId="15" borderId="9" xfId="5" applyNumberFormat="1" applyFill="1" applyBorder="1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0" fillId="9" borderId="9" xfId="0" applyFill="1" applyBorder="1" applyAlignment="1">
      <alignment horizontal="center" vertical="center"/>
    </xf>
    <xf numFmtId="165" fontId="0" fillId="9" borderId="9" xfId="0" applyNumberFormat="1" applyFill="1" applyBorder="1" applyAlignment="1">
      <alignment horizontal="center" vertical="center"/>
    </xf>
    <xf numFmtId="16" fontId="0" fillId="9" borderId="9" xfId="0" applyNumberFormat="1" applyFill="1" applyBorder="1"/>
    <xf numFmtId="0" fontId="0" fillId="9" borderId="35" xfId="0" applyFill="1" applyBorder="1" applyAlignment="1">
      <alignment horizontal="center"/>
    </xf>
    <xf numFmtId="165" fontId="0" fillId="9" borderId="35" xfId="0" applyNumberFormat="1" applyFill="1" applyBorder="1" applyAlignment="1">
      <alignment horizontal="center" vertical="center"/>
    </xf>
    <xf numFmtId="0" fontId="0" fillId="9" borderId="52" xfId="0" applyFill="1" applyBorder="1" applyAlignment="1">
      <alignment horizontal="center" vertical="center"/>
    </xf>
    <xf numFmtId="16" fontId="0" fillId="9" borderId="9" xfId="0" applyNumberFormat="1" applyFill="1" applyBorder="1" applyAlignment="1">
      <alignment horizontal="center" vertical="center"/>
    </xf>
    <xf numFmtId="16" fontId="0" fillId="9" borderId="52" xfId="0" applyNumberFormat="1" applyFill="1" applyBorder="1" applyAlignment="1">
      <alignment horizontal="center" vertical="center"/>
    </xf>
    <xf numFmtId="0" fontId="26" fillId="9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165" fontId="1" fillId="16" borderId="0" xfId="0" applyNumberFormat="1" applyFont="1" applyFill="1" applyAlignment="1">
      <alignment horizontal="center" vertical="center" wrapText="1"/>
    </xf>
    <xf numFmtId="0" fontId="1" fillId="16" borderId="32" xfId="0" applyFont="1" applyFill="1" applyBorder="1" applyAlignment="1">
      <alignment horizontal="center" vertical="center" wrapText="1"/>
    </xf>
    <xf numFmtId="0" fontId="1" fillId="16" borderId="33" xfId="0" applyFont="1" applyFill="1" applyBorder="1" applyAlignment="1">
      <alignment horizontal="center" vertical="center" wrapText="1"/>
    </xf>
    <xf numFmtId="0" fontId="1" fillId="16" borderId="23" xfId="0" applyFont="1" applyFill="1" applyBorder="1" applyAlignment="1">
      <alignment horizontal="center" vertical="center" wrapText="1"/>
    </xf>
    <xf numFmtId="0" fontId="1" fillId="16" borderId="21" xfId="0" applyFont="1" applyFill="1" applyBorder="1" applyAlignment="1">
      <alignment horizontal="center" vertical="center" wrapText="1"/>
    </xf>
    <xf numFmtId="165" fontId="1" fillId="16" borderId="22" xfId="0" applyNumberFormat="1" applyFont="1" applyFill="1" applyBorder="1" applyAlignment="1">
      <alignment horizontal="center" vertical="center" wrapText="1"/>
    </xf>
    <xf numFmtId="0" fontId="1" fillId="16" borderId="22" xfId="0" applyFont="1" applyFill="1" applyBorder="1" applyAlignment="1">
      <alignment horizontal="center" vertical="center" wrapText="1"/>
    </xf>
    <xf numFmtId="0" fontId="1" fillId="16" borderId="2" xfId="0" applyFont="1" applyFill="1" applyBorder="1" applyAlignment="1">
      <alignment horizontal="center" vertical="center" wrapText="1"/>
    </xf>
    <xf numFmtId="0" fontId="1" fillId="16" borderId="3" xfId="0" applyFont="1" applyFill="1" applyBorder="1" applyAlignment="1">
      <alignment horizontal="center" vertical="center" wrapText="1"/>
    </xf>
    <xf numFmtId="0" fontId="1" fillId="16" borderId="59" xfId="0" applyFont="1" applyFill="1" applyBorder="1" applyAlignment="1">
      <alignment horizontal="center" vertical="center" wrapText="1"/>
    </xf>
    <xf numFmtId="0" fontId="1" fillId="16" borderId="34" xfId="0" applyFont="1" applyFill="1" applyBorder="1" applyAlignment="1">
      <alignment horizontal="center" vertical="center" wrapText="1"/>
    </xf>
    <xf numFmtId="0" fontId="1" fillId="16" borderId="59" xfId="0" applyFont="1" applyFill="1" applyBorder="1" applyAlignment="1">
      <alignment horizontal="center" vertical="center"/>
    </xf>
    <xf numFmtId="0" fontId="1" fillId="16" borderId="32" xfId="0" applyFont="1" applyFill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165" fontId="1" fillId="16" borderId="32" xfId="0" applyNumberFormat="1" applyFont="1" applyFill="1" applyBorder="1" applyAlignment="1">
      <alignment horizontal="center" vertical="center"/>
    </xf>
    <xf numFmtId="0" fontId="1" fillId="16" borderId="34" xfId="0" applyFont="1" applyFill="1" applyBorder="1" applyAlignment="1">
      <alignment horizontal="center" vertical="center"/>
    </xf>
    <xf numFmtId="0" fontId="1" fillId="16" borderId="22" xfId="0" applyFont="1" applyFill="1" applyBorder="1" applyAlignment="1">
      <alignment horizontal="center" vertical="center"/>
    </xf>
    <xf numFmtId="0" fontId="1" fillId="16" borderId="2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3" fillId="3" borderId="54" xfId="0" applyNumberFormat="1" applyFont="1" applyFill="1" applyBorder="1" applyAlignment="1">
      <alignment horizontal="center" vertical="center"/>
    </xf>
    <xf numFmtId="0" fontId="8" fillId="4" borderId="44" xfId="4" applyBorder="1" applyAlignment="1">
      <alignment horizontal="center" vertical="center" wrapText="1"/>
    </xf>
    <xf numFmtId="0" fontId="0" fillId="0" borderId="42" xfId="0" applyBorder="1"/>
    <xf numFmtId="0" fontId="0" fillId="0" borderId="50" xfId="0" applyBorder="1"/>
    <xf numFmtId="165" fontId="1" fillId="0" borderId="9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 wrapText="1"/>
    </xf>
    <xf numFmtId="0" fontId="21" fillId="18" borderId="9" xfId="5" applyFont="1" applyFill="1" applyBorder="1" applyAlignment="1">
      <alignment horizontal="center" vertical="center"/>
    </xf>
    <xf numFmtId="0" fontId="30" fillId="0" borderId="9" xfId="0" applyFont="1" applyBorder="1" applyAlignment="1">
      <alignment horizontal="center" vertical="center" wrapText="1"/>
    </xf>
    <xf numFmtId="16" fontId="8" fillId="4" borderId="9" xfId="4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165" fontId="8" fillId="4" borderId="9" xfId="4" applyNumberFormat="1" applyBorder="1" applyAlignment="1">
      <alignment horizontal="center"/>
    </xf>
    <xf numFmtId="0" fontId="8" fillId="4" borderId="9" xfId="4" applyBorder="1" applyAlignment="1">
      <alignment horizontal="center"/>
    </xf>
    <xf numFmtId="0" fontId="9" fillId="11" borderId="9" xfId="5" applyFill="1" applyBorder="1" applyAlignment="1">
      <alignment horizontal="center" vertical="center"/>
    </xf>
    <xf numFmtId="0" fontId="0" fillId="0" borderId="35" xfId="0" applyBorder="1"/>
    <xf numFmtId="0" fontId="1" fillId="0" borderId="22" xfId="0" applyFont="1" applyBorder="1" applyAlignment="1">
      <alignment horizontal="center"/>
    </xf>
    <xf numFmtId="0" fontId="8" fillId="4" borderId="68" xfId="4" applyBorder="1" applyAlignment="1">
      <alignment horizontal="center" vertical="center"/>
    </xf>
    <xf numFmtId="0" fontId="0" fillId="0" borderId="68" xfId="0" applyBorder="1"/>
    <xf numFmtId="165" fontId="8" fillId="4" borderId="68" xfId="4" applyNumberFormat="1" applyBorder="1" applyAlignment="1">
      <alignment horizontal="center"/>
    </xf>
    <xf numFmtId="16" fontId="8" fillId="4" borderId="53" xfId="4" applyNumberFormat="1" applyBorder="1" applyAlignment="1">
      <alignment horizontal="center" vertical="center"/>
    </xf>
    <xf numFmtId="0" fontId="8" fillId="4" borderId="53" xfId="4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0" fillId="0" borderId="35" xfId="0" applyBorder="1" applyAlignment="1">
      <alignment horizontal="center"/>
    </xf>
    <xf numFmtId="165" fontId="8" fillId="4" borderId="35" xfId="4" applyNumberFormat="1" applyBorder="1" applyAlignment="1">
      <alignment horizontal="center" vertical="center"/>
    </xf>
    <xf numFmtId="16" fontId="8" fillId="4" borderId="35" xfId="4" applyNumberFormat="1" applyBorder="1" applyAlignment="1">
      <alignment horizontal="center" vertical="center"/>
    </xf>
    <xf numFmtId="165" fontId="8" fillId="4" borderId="9" xfId="4" applyNumberFormat="1" applyBorder="1"/>
    <xf numFmtId="0" fontId="28" fillId="3" borderId="35" xfId="0" applyFont="1" applyFill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3" fillId="19" borderId="9" xfId="0" applyFont="1" applyFill="1" applyBorder="1" applyAlignment="1">
      <alignment horizontal="center" vertical="center"/>
    </xf>
    <xf numFmtId="165" fontId="33" fillId="19" borderId="53" xfId="0" applyNumberFormat="1" applyFont="1" applyFill="1" applyBorder="1" applyAlignment="1">
      <alignment horizontal="center" vertical="center"/>
    </xf>
    <xf numFmtId="0" fontId="33" fillId="19" borderId="53" xfId="0" applyFont="1" applyFill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165" fontId="33" fillId="19" borderId="70" xfId="0" applyNumberFormat="1" applyFont="1" applyFill="1" applyBorder="1" applyAlignment="1">
      <alignment horizontal="center" vertical="center"/>
    </xf>
    <xf numFmtId="0" fontId="33" fillId="19" borderId="70" xfId="0" applyFont="1" applyFill="1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165" fontId="8" fillId="4" borderId="54" xfId="4" applyNumberFormat="1" applyBorder="1" applyAlignment="1">
      <alignment horizontal="center" vertical="center"/>
    </xf>
    <xf numFmtId="165" fontId="8" fillId="9" borderId="9" xfId="4" applyNumberFormat="1" applyFill="1" applyBorder="1" applyAlignment="1">
      <alignment horizontal="center" vertical="center"/>
    </xf>
    <xf numFmtId="0" fontId="8" fillId="9" borderId="9" xfId="4" applyFill="1" applyBorder="1" applyAlignment="1">
      <alignment horizontal="center" vertical="center"/>
    </xf>
    <xf numFmtId="0" fontId="0" fillId="20" borderId="77" xfId="0" applyFill="1" applyBorder="1"/>
    <xf numFmtId="0" fontId="1" fillId="20" borderId="35" xfId="0" applyFont="1" applyFill="1" applyBorder="1" applyAlignment="1">
      <alignment horizontal="center"/>
    </xf>
    <xf numFmtId="0" fontId="1" fillId="20" borderId="22" xfId="0" applyFont="1" applyFill="1" applyBorder="1" applyAlignment="1">
      <alignment horizontal="center"/>
    </xf>
    <xf numFmtId="0" fontId="0" fillId="20" borderId="9" xfId="0" applyFill="1" applyBorder="1" applyAlignment="1">
      <alignment horizontal="center"/>
    </xf>
    <xf numFmtId="0" fontId="9" fillId="20" borderId="9" xfId="5" applyFill="1" applyBorder="1" applyAlignment="1">
      <alignment horizontal="center" vertical="center"/>
    </xf>
    <xf numFmtId="165" fontId="8" fillId="20" borderId="9" xfId="4" applyNumberFormat="1" applyFill="1" applyBorder="1" applyAlignment="1">
      <alignment horizontal="center" vertical="center"/>
    </xf>
    <xf numFmtId="0" fontId="8" fillId="20" borderId="9" xfId="4" applyFill="1" applyBorder="1" applyAlignment="1">
      <alignment horizontal="center" vertical="center"/>
    </xf>
    <xf numFmtId="16" fontId="8" fillId="20" borderId="9" xfId="4" applyNumberForma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16" fontId="0" fillId="9" borderId="9" xfId="0" applyNumberFormat="1" applyFill="1" applyBorder="1" applyAlignment="1">
      <alignment horizontal="center"/>
    </xf>
    <xf numFmtId="0" fontId="0" fillId="9" borderId="9" xfId="0" quotePrefix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0" fillId="9" borderId="9" xfId="0" applyFill="1" applyBorder="1" applyAlignment="1">
      <alignment horizontal="center"/>
    </xf>
    <xf numFmtId="0" fontId="1" fillId="0" borderId="78" xfId="0" applyFont="1" applyBorder="1" applyAlignment="1">
      <alignment horizontal="center"/>
    </xf>
    <xf numFmtId="0" fontId="1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9" borderId="69" xfId="0" applyFill="1" applyBorder="1" applyAlignment="1">
      <alignment horizontal="center"/>
    </xf>
    <xf numFmtId="165" fontId="0" fillId="9" borderId="69" xfId="0" applyNumberFormat="1" applyFill="1" applyBorder="1" applyAlignment="1">
      <alignment horizontal="center"/>
    </xf>
    <xf numFmtId="0" fontId="0" fillId="9" borderId="69" xfId="0" applyFill="1" applyBorder="1" applyAlignment="1">
      <alignment horizontal="center" vertical="center"/>
    </xf>
    <xf numFmtId="166" fontId="0" fillId="9" borderId="69" xfId="0" applyNumberFormat="1" applyFill="1" applyBorder="1" applyAlignment="1">
      <alignment horizontal="center"/>
    </xf>
    <xf numFmtId="0" fontId="1" fillId="0" borderId="79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9" borderId="45" xfId="0" applyFill="1" applyBorder="1" applyAlignment="1">
      <alignment horizontal="center" vertical="center"/>
    </xf>
    <xf numFmtId="165" fontId="0" fillId="9" borderId="45" xfId="0" applyNumberFormat="1" applyFill="1" applyBorder="1" applyAlignment="1">
      <alignment horizontal="center"/>
    </xf>
    <xf numFmtId="16" fontId="0" fillId="9" borderId="45" xfId="0" applyNumberFormat="1" applyFill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9" borderId="61" xfId="0" applyFill="1" applyBorder="1" applyAlignment="1">
      <alignment horizontal="center" vertical="center"/>
    </xf>
    <xf numFmtId="165" fontId="0" fillId="9" borderId="61" xfId="0" applyNumberFormat="1" applyFill="1" applyBorder="1" applyAlignment="1">
      <alignment horizontal="center" vertical="center"/>
    </xf>
    <xf numFmtId="16" fontId="0" fillId="9" borderId="61" xfId="0" applyNumberFormat="1" applyFill="1" applyBorder="1" applyAlignment="1">
      <alignment horizontal="center" vertical="center"/>
    </xf>
    <xf numFmtId="0" fontId="1" fillId="0" borderId="80" xfId="0" applyFont="1" applyBorder="1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165" fontId="0" fillId="9" borderId="45" xfId="0" applyNumberFormat="1" applyFill="1" applyBorder="1" applyAlignment="1">
      <alignment horizontal="center" vertical="center"/>
    </xf>
    <xf numFmtId="16" fontId="0" fillId="11" borderId="45" xfId="0" applyNumberFormat="1" applyFill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165" fontId="0" fillId="9" borderId="9" xfId="0" applyNumberFormat="1" applyFill="1" applyBorder="1" applyAlignment="1">
      <alignment horizontal="center"/>
    </xf>
    <xf numFmtId="167" fontId="0" fillId="9" borderId="9" xfId="0" applyNumberFormat="1" applyFill="1" applyBorder="1" applyAlignment="1">
      <alignment horizontal="center" vertical="center"/>
    </xf>
    <xf numFmtId="168" fontId="0" fillId="9" borderId="9" xfId="0" applyNumberFormat="1" applyFill="1" applyBorder="1" applyAlignment="1">
      <alignment horizontal="center" vertical="center"/>
    </xf>
    <xf numFmtId="0" fontId="0" fillId="9" borderId="9" xfId="0" applyFill="1" applyBorder="1"/>
    <xf numFmtId="0" fontId="0" fillId="10" borderId="35" xfId="0" applyFill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65" fontId="0" fillId="10" borderId="35" xfId="0" applyNumberFormat="1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165" fontId="0" fillId="10" borderId="9" xfId="0" applyNumberFormat="1" applyFill="1" applyBorder="1" applyAlignment="1">
      <alignment horizontal="center" vertical="center"/>
    </xf>
    <xf numFmtId="0" fontId="34" fillId="9" borderId="9" xfId="0" applyFont="1" applyFill="1" applyBorder="1" applyAlignment="1">
      <alignment horizontal="center"/>
    </xf>
    <xf numFmtId="169" fontId="8" fillId="9" borderId="9" xfId="5" applyNumberFormat="1" applyFont="1" applyFill="1" applyBorder="1" applyAlignment="1">
      <alignment horizontal="center" vertical="center"/>
    </xf>
    <xf numFmtId="169" fontId="9" fillId="5" borderId="9" xfId="5" applyNumberFormat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21" borderId="7" xfId="0" applyFill="1" applyBorder="1" applyAlignment="1">
      <alignment horizontal="center" vertical="center"/>
    </xf>
    <xf numFmtId="0" fontId="0" fillId="21" borderId="7" xfId="0" applyFill="1" applyBorder="1" applyAlignment="1">
      <alignment horizontal="center"/>
    </xf>
    <xf numFmtId="0" fontId="0" fillId="21" borderId="8" xfId="0" applyFill="1" applyBorder="1" applyAlignment="1">
      <alignment horizontal="center"/>
    </xf>
    <xf numFmtId="16" fontId="9" fillId="22" borderId="45" xfId="5" applyNumberFormat="1" applyFill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54" xfId="1" applyBorder="1" applyAlignment="1">
      <alignment horizontal="center" vertical="center"/>
    </xf>
    <xf numFmtId="0" fontId="10" fillId="6" borderId="52" xfId="6" applyBorder="1"/>
    <xf numFmtId="44" fontId="0" fillId="0" borderId="0" xfId="3" applyFont="1" applyBorder="1" applyAlignment="1">
      <alignment horizontal="left"/>
    </xf>
    <xf numFmtId="0" fontId="2" fillId="0" borderId="0" xfId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1" fillId="7" borderId="0" xfId="7" applyBorder="1" applyAlignment="1">
      <alignment horizontal="center" vertical="center" wrapText="1"/>
    </xf>
    <xf numFmtId="0" fontId="0" fillId="0" borderId="53" xfId="0" applyBorder="1" applyAlignment="1">
      <alignment horizontal="left"/>
    </xf>
    <xf numFmtId="0" fontId="9" fillId="5" borderId="79" xfId="5" applyBorder="1" applyAlignment="1">
      <alignment horizontal="center" vertical="center"/>
    </xf>
    <xf numFmtId="0" fontId="2" fillId="0" borderId="51" xfId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5" xfId="0" applyFont="1" applyFill="1" applyBorder="1" applyAlignment="1">
      <alignment horizontal="center"/>
    </xf>
    <xf numFmtId="0" fontId="20" fillId="3" borderId="16" xfId="0" applyFont="1" applyFill="1" applyBorder="1" applyAlignment="1">
      <alignment horizontal="center" vertical="top"/>
    </xf>
    <xf numFmtId="0" fontId="20" fillId="3" borderId="0" xfId="0" applyFont="1" applyFill="1" applyAlignment="1">
      <alignment horizontal="center" vertical="top"/>
    </xf>
    <xf numFmtId="0" fontId="20" fillId="3" borderId="11" xfId="0" applyFont="1" applyFill="1" applyBorder="1" applyAlignment="1">
      <alignment horizontal="center" vertical="top"/>
    </xf>
    <xf numFmtId="0" fontId="20" fillId="3" borderId="17" xfId="0" applyFont="1" applyFill="1" applyBorder="1" applyAlignment="1">
      <alignment horizontal="center" vertical="top"/>
    </xf>
    <xf numFmtId="0" fontId="20" fillId="3" borderId="12" xfId="0" applyFont="1" applyFill="1" applyBorder="1" applyAlignment="1">
      <alignment horizontal="center" vertical="top"/>
    </xf>
    <xf numFmtId="0" fontId="20" fillId="3" borderId="10" xfId="0" applyFont="1" applyFill="1" applyBorder="1" applyAlignment="1">
      <alignment horizontal="center" vertical="top"/>
    </xf>
    <xf numFmtId="0" fontId="4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23" fillId="13" borderId="16" xfId="0" applyFont="1" applyFill="1" applyBorder="1" applyAlignment="1">
      <alignment horizontal="center"/>
    </xf>
    <xf numFmtId="0" fontId="23" fillId="13" borderId="0" xfId="0" applyFont="1" applyFill="1" applyAlignment="1">
      <alignment horizontal="center"/>
    </xf>
    <xf numFmtId="0" fontId="23" fillId="13" borderId="11" xfId="0" applyFont="1" applyFill="1" applyBorder="1" applyAlignment="1">
      <alignment horizontal="center"/>
    </xf>
    <xf numFmtId="0" fontId="25" fillId="13" borderId="16" xfId="0" applyFont="1" applyFill="1" applyBorder="1" applyAlignment="1">
      <alignment horizontal="center"/>
    </xf>
    <xf numFmtId="0" fontId="25" fillId="13" borderId="0" xfId="0" applyFont="1" applyFill="1" applyAlignment="1">
      <alignment horizontal="center"/>
    </xf>
    <xf numFmtId="0" fontId="25" fillId="13" borderId="11" xfId="0" applyFont="1" applyFill="1" applyBorder="1" applyAlignment="1">
      <alignment horizontal="center"/>
    </xf>
    <xf numFmtId="0" fontId="1" fillId="16" borderId="25" xfId="0" applyFont="1" applyFill="1" applyBorder="1" applyAlignment="1">
      <alignment horizontal="left" vertical="center" wrapText="1"/>
    </xf>
    <xf numFmtId="0" fontId="1" fillId="16" borderId="19" xfId="0" applyFont="1" applyFill="1" applyBorder="1" applyAlignment="1">
      <alignment horizontal="left" vertical="center" wrapText="1"/>
    </xf>
    <xf numFmtId="0" fontId="1" fillId="16" borderId="20" xfId="0" applyFont="1" applyFill="1" applyBorder="1" applyAlignment="1">
      <alignment horizontal="left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165" fontId="13" fillId="0" borderId="7" xfId="0" applyNumberFormat="1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165" fontId="14" fillId="0" borderId="22" xfId="0" applyNumberFormat="1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14" fillId="0" borderId="26" xfId="0" applyFont="1" applyBorder="1" applyAlignment="1">
      <alignment horizontal="center" vertical="center"/>
    </xf>
    <xf numFmtId="0" fontId="18" fillId="6" borderId="65" xfId="9" applyBorder="1" applyAlignment="1">
      <alignment horizontal="center" vertical="center"/>
    </xf>
    <xf numFmtId="0" fontId="18" fillId="6" borderId="68" xfId="9" applyBorder="1" applyAlignment="1">
      <alignment horizontal="center" vertical="center"/>
    </xf>
    <xf numFmtId="0" fontId="18" fillId="6" borderId="53" xfId="9" applyBorder="1" applyAlignment="1">
      <alignment horizontal="center" vertical="center"/>
    </xf>
    <xf numFmtId="0" fontId="16" fillId="8" borderId="19" xfId="0" applyFont="1" applyFill="1" applyBorder="1" applyAlignment="1">
      <alignment horizontal="left" wrapText="1"/>
    </xf>
    <xf numFmtId="0" fontId="16" fillId="8" borderId="20" xfId="0" applyFont="1" applyFill="1" applyBorder="1" applyAlignment="1">
      <alignment horizontal="left" wrapText="1"/>
    </xf>
    <xf numFmtId="0" fontId="18" fillId="6" borderId="55" xfId="9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18" fillId="6" borderId="9" xfId="9" applyBorder="1" applyAlignment="1">
      <alignment horizontal="center" vertical="center"/>
    </xf>
    <xf numFmtId="0" fontId="18" fillId="6" borderId="52" xfId="9" applyBorder="1" applyAlignment="1">
      <alignment horizontal="center" vertical="center"/>
    </xf>
    <xf numFmtId="0" fontId="18" fillId="6" borderId="51" xfId="9" applyBorder="1" applyAlignment="1">
      <alignment horizontal="center" vertical="center"/>
    </xf>
    <xf numFmtId="0" fontId="17" fillId="6" borderId="9" xfId="9" applyFont="1" applyBorder="1" applyAlignment="1">
      <alignment horizontal="center" vertical="center"/>
    </xf>
    <xf numFmtId="0" fontId="17" fillId="6" borderId="52" xfId="9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27" fillId="0" borderId="73" xfId="0" applyFont="1" applyBorder="1" applyAlignment="1">
      <alignment horizontal="center" vertical="center"/>
    </xf>
    <xf numFmtId="0" fontId="9" fillId="5" borderId="52" xfId="5" applyBorder="1" applyAlignment="1">
      <alignment horizontal="center" vertical="center"/>
    </xf>
    <xf numFmtId="0" fontId="9" fillId="5" borderId="68" xfId="5" applyBorder="1" applyAlignment="1">
      <alignment horizontal="center" vertical="center"/>
    </xf>
    <xf numFmtId="0" fontId="9" fillId="5" borderId="53" xfId="5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29" fillId="6" borderId="9" xfId="9" applyFont="1" applyBorder="1" applyAlignment="1">
      <alignment horizontal="center" vertical="center"/>
    </xf>
    <xf numFmtId="0" fontId="29" fillId="6" borderId="51" xfId="9" applyFont="1" applyBorder="1" applyAlignment="1">
      <alignment horizontal="center" vertical="center"/>
    </xf>
    <xf numFmtId="0" fontId="21" fillId="18" borderId="9" xfId="5" applyFont="1" applyFill="1" applyBorder="1" applyAlignment="1">
      <alignment horizontal="center" vertical="center"/>
    </xf>
    <xf numFmtId="0" fontId="12" fillId="0" borderId="0" xfId="8" applyBorder="1" applyAlignment="1">
      <alignment horizontal="center"/>
    </xf>
    <xf numFmtId="0" fontId="12" fillId="0" borderId="5" xfId="8" applyBorder="1" applyAlignment="1">
      <alignment horizontal="center"/>
    </xf>
    <xf numFmtId="0" fontId="0" fillId="0" borderId="0" xfId="0" applyAlignment="1">
      <alignment horizontal="center"/>
    </xf>
    <xf numFmtId="0" fontId="1" fillId="21" borderId="4" xfId="0" applyFont="1" applyFill="1" applyBorder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21" borderId="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2" fillId="3" borderId="0" xfId="8" applyFill="1" applyBorder="1" applyAlignment="1">
      <alignment horizontal="center" vertical="center"/>
    </xf>
    <xf numFmtId="0" fontId="12" fillId="3" borderId="5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1" borderId="4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5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0" xfId="0" applyFont="1" applyFill="1" applyAlignment="1">
      <alignment horizontal="center"/>
    </xf>
    <xf numFmtId="0" fontId="1" fillId="21" borderId="5" xfId="0" applyFont="1" applyFill="1" applyBorder="1" applyAlignment="1">
      <alignment horizontal="center"/>
    </xf>
    <xf numFmtId="0" fontId="12" fillId="3" borderId="0" xfId="8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0" fontId="12" fillId="0" borderId="81" xfId="8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  <xf numFmtId="0" fontId="12" fillId="3" borderId="5" xfId="8" applyFill="1" applyBorder="1" applyAlignment="1">
      <alignment horizontal="center"/>
    </xf>
    <xf numFmtId="0" fontId="12" fillId="0" borderId="0" xfId="11" applyBorder="1" applyAlignment="1">
      <alignment horizontal="center"/>
    </xf>
    <xf numFmtId="0" fontId="12" fillId="0" borderId="5" xfId="11" applyBorder="1" applyAlignment="1">
      <alignment horizontal="center"/>
    </xf>
    <xf numFmtId="170" fontId="0" fillId="3" borderId="0" xfId="0" applyNumberFormat="1" applyFill="1" applyAlignment="1">
      <alignment horizontal="center"/>
    </xf>
    <xf numFmtId="170" fontId="0" fillId="3" borderId="5" xfId="0" applyNumberFormat="1" applyFill="1" applyBorder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3" borderId="5" xfId="0" applyNumberFormat="1" applyFill="1" applyBorder="1" applyAlignment="1">
      <alignment horizontal="center"/>
    </xf>
    <xf numFmtId="0" fontId="2" fillId="0" borderId="50" xfId="0" applyFont="1" applyFill="1" applyBorder="1" applyAlignment="1">
      <alignment horizontal="left" vertical="center"/>
    </xf>
    <xf numFmtId="0" fontId="2" fillId="23" borderId="42" xfId="0" applyFont="1" applyFill="1" applyBorder="1" applyAlignment="1">
      <alignment horizontal="left" vertical="top" wrapText="1"/>
    </xf>
    <xf numFmtId="0" fontId="2" fillId="23" borderId="50" xfId="0" applyFont="1" applyFill="1" applyBorder="1" applyAlignment="1">
      <alignment horizontal="left" vertical="center"/>
    </xf>
    <xf numFmtId="0" fontId="2" fillId="23" borderId="50" xfId="0" applyFont="1" applyFill="1" applyBorder="1" applyAlignment="1">
      <alignment horizontal="left" vertical="center" wrapText="1"/>
    </xf>
    <xf numFmtId="0" fontId="2" fillId="0" borderId="50" xfId="1" applyFill="1" applyBorder="1" applyAlignment="1">
      <alignment horizontal="left" vertical="center"/>
    </xf>
    <xf numFmtId="0" fontId="2" fillId="0" borderId="9" xfId="1" applyFill="1" applyBorder="1" applyAlignment="1">
      <alignment horizontal="left" vertical="center"/>
    </xf>
    <xf numFmtId="0" fontId="10" fillId="0" borderId="9" xfId="6" applyFill="1" applyBorder="1"/>
    <xf numFmtId="0" fontId="10" fillId="0" borderId="52" xfId="6" applyFill="1" applyBorder="1"/>
    <xf numFmtId="0" fontId="2" fillId="0" borderId="9" xfId="0" applyFont="1" applyFill="1" applyBorder="1" applyAlignment="1">
      <alignment horizontal="left" vertical="center"/>
    </xf>
  </cellXfs>
  <cellStyles count="12">
    <cellStyle name="Bom" xfId="4" builtinId="26"/>
    <cellStyle name="Cálculo" xfId="7" builtinId="22"/>
    <cellStyle name="Hiperlink" xfId="8" builtinId="8"/>
    <cellStyle name="Hyperlink" xfId="11" xr:uid="{01693884-CC2C-4B6E-870D-98DEFCAF9971}"/>
    <cellStyle name="Moeda" xfId="3" builtinId="4"/>
    <cellStyle name="Moeda 2" xfId="10" xr:uid="{D7C52C52-68C1-447B-BB13-8B4D2656D715}"/>
    <cellStyle name="Neutro" xfId="6" builtinId="28"/>
    <cellStyle name="Neutro 2" xfId="9" xr:uid="{CF8DB0B1-019F-4F34-ACBD-3DE9135CB4BA}"/>
    <cellStyle name="Normal" xfId="0" builtinId="0"/>
    <cellStyle name="Normal 2" xfId="1" xr:uid="{389B3551-4315-4645-9144-C09DA1BF6A40}"/>
    <cellStyle name="Ruim" xfId="5" builtinId="27"/>
    <cellStyle name="Vírgula" xfId="2" builtinId="3"/>
  </cellStyles>
  <dxfs count="94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FDBFBF"/>
      </font>
      <fill>
        <patternFill>
          <bgColor rgb="FFFDBFBF"/>
        </patternFill>
      </fill>
    </dxf>
    <dxf>
      <font>
        <color rgb="FFC6EFCE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1"/>
      </font>
      <fill>
        <patternFill>
          <bgColor rgb="FF00B0F0"/>
        </patternFill>
      </fill>
    </dxf>
  </dxfs>
  <tableStyles count="1" defaultTableStyle="TableStyleMedium2" defaultPivotStyle="PivotStyleLight16">
    <tableStyle name="Invisible" pivot="0" table="0" count="0" xr9:uid="{E2FC9785-2864-48C9-AA7C-D621123695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.png"/><Relationship Id="rId1" Type="http://schemas.openxmlformats.org/officeDocument/2006/relationships/customXml" Target="../ink/ink1.xml"/><Relationship Id="rId5" Type="http://schemas.openxmlformats.org/officeDocument/2006/relationships/image" Target="../media/image7.jpeg"/><Relationship Id="rId4" Type="http://schemas.openxmlformats.org/officeDocument/2006/relationships/customXml" Target="../ink/ink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ustomXml" Target="../ink/ink5.xml"/><Relationship Id="rId2" Type="http://schemas.openxmlformats.org/officeDocument/2006/relationships/image" Target="../media/image3.png"/><Relationship Id="rId1" Type="http://schemas.openxmlformats.org/officeDocument/2006/relationships/customXml" Target="../ink/ink4.xml"/><Relationship Id="rId5" Type="http://schemas.openxmlformats.org/officeDocument/2006/relationships/image" Target="../media/image7.jpeg"/><Relationship Id="rId4" Type="http://schemas.openxmlformats.org/officeDocument/2006/relationships/customXml" Target="../ink/ink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30</xdr:row>
          <xdr:rowOff>142875</xdr:rowOff>
        </xdr:from>
        <xdr:to>
          <xdr:col>4</xdr:col>
          <xdr:colOff>781050</xdr:colOff>
          <xdr:row>32</xdr:row>
          <xdr:rowOff>66675</xdr:rowOff>
        </xdr:to>
        <xdr:sp macro="" textlink="">
          <xdr:nvSpPr>
            <xdr:cNvPr id="1025" name="EnviarR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4</xdr:row>
          <xdr:rowOff>19050</xdr:rowOff>
        </xdr:from>
        <xdr:to>
          <xdr:col>6</xdr:col>
          <xdr:colOff>238125</xdr:colOff>
          <xdr:row>6</xdr:row>
          <xdr:rowOff>38100</xdr:rowOff>
        </xdr:to>
        <xdr:sp macro="" textlink="">
          <xdr:nvSpPr>
            <xdr:cNvPr id="1037" name="ComboBox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</xdr:row>
          <xdr:rowOff>142875</xdr:rowOff>
        </xdr:from>
        <xdr:to>
          <xdr:col>6</xdr:col>
          <xdr:colOff>400050</xdr:colOff>
          <xdr:row>3</xdr:row>
          <xdr:rowOff>114300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201565</xdr:colOff>
      <xdr:row>23</xdr:row>
      <xdr:rowOff>62516</xdr:rowOff>
    </xdr:from>
    <xdr:to>
      <xdr:col>4</xdr:col>
      <xdr:colOff>212720</xdr:colOff>
      <xdr:row>23</xdr:row>
      <xdr:rowOff>73546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2935800" y="4488840"/>
            <a:ext cx="360" cy="4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A08D93E-F88B-F72C-9701-A899028568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29680" y="4482720"/>
              <a:ext cx="12600" cy="1692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4</xdr:col>
      <xdr:colOff>201565</xdr:colOff>
      <xdr:row>10</xdr:row>
      <xdr:rowOff>62516</xdr:rowOff>
    </xdr:from>
    <xdr:ext cx="360" cy="4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Ink 2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2935800" y="4488840"/>
            <a:ext cx="360" cy="4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A08D93E-F88B-F72C-9701-A899028568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29680" y="4482720"/>
              <a:ext cx="12600" cy="16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</xdr:col>
      <xdr:colOff>201565</xdr:colOff>
      <xdr:row>16</xdr:row>
      <xdr:rowOff>62516</xdr:rowOff>
    </xdr:from>
    <xdr:ext cx="360" cy="4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2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2935800" y="4488840"/>
            <a:ext cx="360" cy="4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A08D93E-F88B-F72C-9701-A899028568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29680" y="4482720"/>
              <a:ext cx="12600" cy="16920"/>
            </a:xfrm>
            <a:prstGeom prst="rect">
              <a:avLst/>
            </a:prstGeom>
          </xdr:spPr>
        </xdr:pic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9525</xdr:rowOff>
        </xdr:from>
        <xdr:to>
          <xdr:col>5</xdr:col>
          <xdr:colOff>542925</xdr:colOff>
          <xdr:row>9</xdr:row>
          <xdr:rowOff>66675</xdr:rowOff>
        </xdr:to>
        <xdr:sp macro="" textlink="">
          <xdr:nvSpPr>
            <xdr:cNvPr id="1043" name="ComboBoxMe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31</xdr:row>
          <xdr:rowOff>66675</xdr:rowOff>
        </xdr:from>
        <xdr:to>
          <xdr:col>9</xdr:col>
          <xdr:colOff>485775</xdr:colOff>
          <xdr:row>33</xdr:row>
          <xdr:rowOff>104775</xdr:rowOff>
        </xdr:to>
        <xdr:sp macro="" textlink="">
          <xdr:nvSpPr>
            <xdr:cNvPr id="1045" name="LimparRC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381000</xdr:colOff>
          <xdr:row>1</xdr:row>
          <xdr:rowOff>180975</xdr:rowOff>
        </xdr:from>
        <xdr:to>
          <xdr:col>25</xdr:col>
          <xdr:colOff>142875</xdr:colOff>
          <xdr:row>3</xdr:row>
          <xdr:rowOff>76200</xdr:rowOff>
        </xdr:to>
        <xdr:sp macro="" textlink="">
          <xdr:nvSpPr>
            <xdr:cNvPr id="1048" name="ComboBox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</xdr:row>
          <xdr:rowOff>161925</xdr:rowOff>
        </xdr:from>
        <xdr:to>
          <xdr:col>24</xdr:col>
          <xdr:colOff>295275</xdr:colOff>
          <xdr:row>5</xdr:row>
          <xdr:rowOff>57150</xdr:rowOff>
        </xdr:to>
        <xdr:sp macro="" textlink="">
          <xdr:nvSpPr>
            <xdr:cNvPr id="1049" name="ComboBox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28575</xdr:rowOff>
        </xdr:from>
        <xdr:to>
          <xdr:col>25</xdr:col>
          <xdr:colOff>561975</xdr:colOff>
          <xdr:row>9</xdr:row>
          <xdr:rowOff>76200</xdr:rowOff>
        </xdr:to>
        <xdr:sp macro="" textlink="">
          <xdr:nvSpPr>
            <xdr:cNvPr id="1050" name="ComboBox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381000</xdr:colOff>
          <xdr:row>29</xdr:row>
          <xdr:rowOff>123825</xdr:rowOff>
        </xdr:from>
        <xdr:to>
          <xdr:col>22</xdr:col>
          <xdr:colOff>114300</xdr:colOff>
          <xdr:row>31</xdr:row>
          <xdr:rowOff>85725</xdr:rowOff>
        </xdr:to>
        <xdr:sp macro="" textlink="">
          <xdr:nvSpPr>
            <xdr:cNvPr id="1053" name="EnviarRc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31</xdr:row>
          <xdr:rowOff>104775</xdr:rowOff>
        </xdr:from>
        <xdr:to>
          <xdr:col>27</xdr:col>
          <xdr:colOff>542925</xdr:colOff>
          <xdr:row>33</xdr:row>
          <xdr:rowOff>171450</xdr:rowOff>
        </xdr:to>
        <xdr:sp macro="" textlink="">
          <xdr:nvSpPr>
            <xdr:cNvPr id="1054" name="LimparRC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11206</xdr:colOff>
      <xdr:row>1</xdr:row>
      <xdr:rowOff>171605</xdr:rowOff>
    </xdr:from>
    <xdr:to>
      <xdr:col>14</xdr:col>
      <xdr:colOff>593522</xdr:colOff>
      <xdr:row>12</xdr:row>
      <xdr:rowOff>151841</xdr:rowOff>
    </xdr:to>
    <xdr:pic>
      <xdr:nvPicPr>
        <xdr:cNvPr id="2" name="Imagem 1" descr="ESAB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9206" y="381155"/>
          <a:ext cx="3030240" cy="2104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30</xdr:row>
          <xdr:rowOff>142875</xdr:rowOff>
        </xdr:from>
        <xdr:to>
          <xdr:col>5</xdr:col>
          <xdr:colOff>0</xdr:colOff>
          <xdr:row>32</xdr:row>
          <xdr:rowOff>66675</xdr:rowOff>
        </xdr:to>
        <xdr:sp macro="" textlink="">
          <xdr:nvSpPr>
            <xdr:cNvPr id="3073" name="EnviarRc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4</xdr:row>
          <xdr:rowOff>19050</xdr:rowOff>
        </xdr:from>
        <xdr:to>
          <xdr:col>6</xdr:col>
          <xdr:colOff>304800</xdr:colOff>
          <xdr:row>6</xdr:row>
          <xdr:rowOff>38100</xdr:rowOff>
        </xdr:to>
        <xdr:sp macro="" textlink="">
          <xdr:nvSpPr>
            <xdr:cNvPr id="3074" name="ComboBox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</xdr:row>
          <xdr:rowOff>142875</xdr:rowOff>
        </xdr:from>
        <xdr:to>
          <xdr:col>6</xdr:col>
          <xdr:colOff>466725</xdr:colOff>
          <xdr:row>3</xdr:row>
          <xdr:rowOff>114300</xdr:rowOff>
        </xdr:to>
        <xdr:sp macro="" textlink="">
          <xdr:nvSpPr>
            <xdr:cNvPr id="3075" name="ComboBox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201565</xdr:colOff>
      <xdr:row>23</xdr:row>
      <xdr:rowOff>62516</xdr:rowOff>
    </xdr:from>
    <xdr:to>
      <xdr:col>4</xdr:col>
      <xdr:colOff>205100</xdr:colOff>
      <xdr:row>23</xdr:row>
      <xdr:rowOff>73546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2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14:cNvPr>
            <xdr14:cNvContentPartPr/>
          </xdr14:nvContentPartPr>
          <xdr14:nvPr macro=""/>
          <xdr14:xfrm>
            <a:off x="2935800" y="4488840"/>
            <a:ext cx="360" cy="4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A08D93E-F88B-F72C-9701-A899028568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29680" y="4482720"/>
              <a:ext cx="12600" cy="1692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4</xdr:col>
      <xdr:colOff>201565</xdr:colOff>
      <xdr:row>13</xdr:row>
      <xdr:rowOff>62516</xdr:rowOff>
    </xdr:from>
    <xdr:ext cx="360" cy="4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14:cNvPr>
            <xdr14:cNvContentPartPr/>
          </xdr14:nvContentPartPr>
          <xdr14:nvPr macro=""/>
          <xdr14:xfrm>
            <a:off x="2935800" y="4488840"/>
            <a:ext cx="360" cy="4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A08D93E-F88B-F72C-9701-A899028568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29680" y="4482720"/>
              <a:ext cx="12600" cy="16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</xdr:col>
      <xdr:colOff>201565</xdr:colOff>
      <xdr:row>16</xdr:row>
      <xdr:rowOff>62516</xdr:rowOff>
    </xdr:from>
    <xdr:ext cx="360" cy="4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2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14:cNvPr>
            <xdr14:cNvContentPartPr/>
          </xdr14:nvContentPartPr>
          <xdr14:nvPr macro=""/>
          <xdr14:xfrm>
            <a:off x="2935800" y="4488840"/>
            <a:ext cx="360" cy="4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A08D93E-F88B-F72C-9701-A899028568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29680" y="4482720"/>
              <a:ext cx="12600" cy="16920"/>
            </a:xfrm>
            <a:prstGeom prst="rect">
              <a:avLst/>
            </a:prstGeom>
          </xdr:spPr>
        </xdr:pic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9525</xdr:rowOff>
        </xdr:from>
        <xdr:to>
          <xdr:col>6</xdr:col>
          <xdr:colOff>0</xdr:colOff>
          <xdr:row>9</xdr:row>
          <xdr:rowOff>66675</xdr:rowOff>
        </xdr:to>
        <xdr:sp macro="" textlink="">
          <xdr:nvSpPr>
            <xdr:cNvPr id="3076" name="ComboBoxMe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31</xdr:row>
          <xdr:rowOff>66675</xdr:rowOff>
        </xdr:from>
        <xdr:to>
          <xdr:col>9</xdr:col>
          <xdr:colOff>485775</xdr:colOff>
          <xdr:row>33</xdr:row>
          <xdr:rowOff>104775</xdr:rowOff>
        </xdr:to>
        <xdr:sp macro="" textlink="">
          <xdr:nvSpPr>
            <xdr:cNvPr id="3077" name="LimparRC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381000</xdr:colOff>
          <xdr:row>2</xdr:row>
          <xdr:rowOff>0</xdr:rowOff>
        </xdr:from>
        <xdr:to>
          <xdr:col>25</xdr:col>
          <xdr:colOff>438150</xdr:colOff>
          <xdr:row>3</xdr:row>
          <xdr:rowOff>85725</xdr:rowOff>
        </xdr:to>
        <xdr:sp macro="" textlink="">
          <xdr:nvSpPr>
            <xdr:cNvPr id="3078" name="ComboBox3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</xdr:row>
          <xdr:rowOff>161925</xdr:rowOff>
        </xdr:from>
        <xdr:to>
          <xdr:col>24</xdr:col>
          <xdr:colOff>590550</xdr:colOff>
          <xdr:row>5</xdr:row>
          <xdr:rowOff>57150</xdr:rowOff>
        </xdr:to>
        <xdr:sp macro="" textlink="">
          <xdr:nvSpPr>
            <xdr:cNvPr id="3079" name="ComboBox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28575</xdr:rowOff>
        </xdr:from>
        <xdr:to>
          <xdr:col>25</xdr:col>
          <xdr:colOff>447675</xdr:colOff>
          <xdr:row>9</xdr:row>
          <xdr:rowOff>76200</xdr:rowOff>
        </xdr:to>
        <xdr:sp macro="" textlink="">
          <xdr:nvSpPr>
            <xdr:cNvPr id="3080" name="ComboBox5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381000</xdr:colOff>
          <xdr:row>29</xdr:row>
          <xdr:rowOff>123825</xdr:rowOff>
        </xdr:from>
        <xdr:to>
          <xdr:col>22</xdr:col>
          <xdr:colOff>419100</xdr:colOff>
          <xdr:row>31</xdr:row>
          <xdr:rowOff>85725</xdr:rowOff>
        </xdr:to>
        <xdr:sp macro="" textlink="">
          <xdr:nvSpPr>
            <xdr:cNvPr id="3081" name="EnviarRc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31</xdr:row>
          <xdr:rowOff>104775</xdr:rowOff>
        </xdr:from>
        <xdr:to>
          <xdr:col>27</xdr:col>
          <xdr:colOff>542925</xdr:colOff>
          <xdr:row>33</xdr:row>
          <xdr:rowOff>171450</xdr:rowOff>
        </xdr:to>
        <xdr:sp macro="" textlink="">
          <xdr:nvSpPr>
            <xdr:cNvPr id="3082" name="LimparRC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67236</xdr:colOff>
      <xdr:row>1</xdr:row>
      <xdr:rowOff>171605</xdr:rowOff>
    </xdr:from>
    <xdr:to>
      <xdr:col>15</xdr:col>
      <xdr:colOff>6334</xdr:colOff>
      <xdr:row>12</xdr:row>
      <xdr:rowOff>151841</xdr:rowOff>
    </xdr:to>
    <xdr:pic>
      <xdr:nvPicPr>
        <xdr:cNvPr id="5" name="Imagem 4" descr="ESAB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1" y="373311"/>
          <a:ext cx="3326075" cy="2008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7T20:53:54.16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24575,'0'-5'0,"0"-2"-8191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8T13:22:42.69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24575,'0'-5'0,"0"-2"-8191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8T13:22:58.27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24575,'0'-5'0,"0"-2"-8191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9-30T13:16:59.50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24575,'0'-5'0,"0"-2"-8191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9-30T13:16:59.50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24575,'0'-5'0,"0"-2"-8191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9-30T13:16:59.50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24575,'0'-5'0,"0"-2"-8191</inkml:trace>
</inkml: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>
  <person displayName="Diogo Lacerda Silva" id="{9BCCD6E5-E9C8-43D1-864D-7D361F29582E}" userId="Diogo Lacerda Silva" providerId="None"/>
  <person displayName="Diogo Lacerda Silva" id="{412C3AB8-CEB7-4820-87BE-FBA9B7BD94A6}" userId="S::diogo.silva@esab.com.br::326dbd99-8b17-4637-987b-b43e3b7dc967" providerId="AD"/>
  <person displayName="Thiago Gabriel Almeida Silva" id="{C7B091B6-13A1-44B6-A3BA-625409A0C8A0}" userId="S::Thiago.Silva@esab.com.br::91c1249b-991a-455b-88c2-2dce019c439e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R38" dT="2024-06-12T19:25:43.52" personId="{412C3AB8-CEB7-4820-87BE-FBA9B7BD94A6}" id="{1A028CF4-2F2C-47BA-8731-0A3166868FA7}">
    <text>12810650 / 12810651 / 12810652 -Century refaturamento</text>
  </threadedComment>
  <threadedComment ref="AR38" dT="2024-06-25T20:43:05.55" personId="{9BCCD6E5-E9C8-43D1-864D-7D361F29582E}" id="{4EE477A3-C635-46B7-A682-ED89609B8EE8}" parentId="{1A028CF4-2F2C-47BA-8731-0A3166868FA7}">
    <text xml:space="preserve">12810755* ajustado o 12810652
</text>
  </threadedComment>
  <threadedComment ref="AV38" dT="2024-06-25T20:34:13.08" personId="{9BCCD6E5-E9C8-43D1-864D-7D361F29582E}" id="{309AF66A-E3AB-4F76-83C9-820390F73B21}">
    <text xml:space="preserve">5000023412 
1000215001
1000215002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9" dT="2021-07-20T19:31:45.22" personId="{C7B091B6-13A1-44B6-A3BA-625409A0C8A0}" id="{58714C27-DD77-4F0C-8050-5EE5CD079516}">
    <text>RC criada pela TI, mas as faturas são registradas pelo Victor Horta e Bernardo Hemont</text>
  </threadedComment>
  <threadedComment ref="I11" dT="2021-07-20T19:31:45.22" personId="{C7B091B6-13A1-44B6-A3BA-625409A0C8A0}" id="{59430885-729B-40A8-9E02-F0A561F96ADF}">
    <text>RC criada pela TI, mas as faturas são registradas pelo Victor Horta e Bernardo Hemont</text>
  </threadedComment>
  <threadedComment ref="I13" dT="2021-07-21T14:09:30.99" personId="{C7B091B6-13A1-44B6-A3BA-625409A0C8A0}" id="{6D30E991-F3E2-4622-8668-881F6248482C}">
    <text>Carlito, entra com a NF</text>
  </threadedComment>
  <threadedComment ref="I14" dT="2021-07-20T19:31:45.22" personId="{C7B091B6-13A1-44B6-A3BA-625409A0C8A0}" id="{357E7A5F-8073-4AE3-A962-058920CADC57}">
    <text>RC criada pela TI, mas as faturas são registradas pelo Victor Horta e Bernardo Hemont</text>
  </threadedComment>
  <threadedComment ref="I18" dT="2021-07-20T19:31:45.22" personId="{C7B091B6-13A1-44B6-A3BA-625409A0C8A0}" id="{DEFFD395-751A-4E81-AF04-413D90EFEDFD}">
    <text>RC criada pela TI, mas as faturas são registradas pelo Victor Horta e Bernardo Hemont</text>
  </threadedComment>
  <threadedComment ref="G21" dT="2021-10-21T12:16:11.40" personId="{C7B091B6-13A1-44B6-A3BA-625409A0C8A0}" id="{712BC332-9581-40DC-949A-11550960763E}">
    <text>Fone de Ouvido</text>
  </threadedComment>
  <threadedComment ref="G22" dT="2021-10-14T17:44:56.04" personId="{C7B091B6-13A1-44B6-A3BA-625409A0C8A0}" id="{AAA827DA-479A-4225-9F44-3E2C63D30FB2}">
    <text>Toledo! 
- Conversor
-Serviço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2.emf"/><Relationship Id="rId1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10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7.xml"/><Relationship Id="rId9" Type="http://schemas.openxmlformats.org/officeDocument/2006/relationships/image" Target="../media/image10.emf"/><Relationship Id="rId1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5" Type="http://schemas.microsoft.com/office/2019/04/relationships/namedSheetView" Target="../namedSheetViews/namedSheetView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esab@2025" TargetMode="External"/><Relationship Id="rId3" Type="http://schemas.openxmlformats.org/officeDocument/2006/relationships/hyperlink" Target="mailto:Esab@2022" TargetMode="External"/><Relationship Id="rId7" Type="http://schemas.openxmlformats.org/officeDocument/2006/relationships/hyperlink" Target="https://nfe.prefeitura.sp.gov.br/rps.aspx" TargetMode="External"/><Relationship Id="rId12" Type="http://schemas.openxmlformats.org/officeDocument/2006/relationships/printerSettings" Target="../printerSettings/printerSettings7.bin"/><Relationship Id="rId2" Type="http://schemas.openxmlformats.org/officeDocument/2006/relationships/hyperlink" Target="mailto:Thiago.silva@esab.com.br" TargetMode="External"/><Relationship Id="rId1" Type="http://schemas.openxmlformats.org/officeDocument/2006/relationships/hyperlink" Target="mailto:faturas.ti@esab.com.br" TargetMode="External"/><Relationship Id="rId6" Type="http://schemas.openxmlformats.org/officeDocument/2006/relationships/hyperlink" Target="mailto:Esab@2023" TargetMode="External"/><Relationship Id="rId11" Type="http://schemas.openxmlformats.org/officeDocument/2006/relationships/hyperlink" Target="mailto:faturas.ti@esab.com.br" TargetMode="External"/><Relationship Id="rId5" Type="http://schemas.openxmlformats.org/officeDocument/2006/relationships/hyperlink" Target="mailto:Colfax@2019" TargetMode="External"/><Relationship Id="rId10" Type="http://schemas.openxmlformats.org/officeDocument/2006/relationships/hyperlink" Target="mailto:Esab@2019" TargetMode="External"/><Relationship Id="rId4" Type="http://schemas.openxmlformats.org/officeDocument/2006/relationships/hyperlink" Target="mailto:faturas.ti@esab.com.br" TargetMode="External"/><Relationship Id="rId9" Type="http://schemas.openxmlformats.org/officeDocument/2006/relationships/hyperlink" Target="mailto:Colfax@20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B772D-8FA0-41F6-BD8C-415212D775C6}">
  <sheetPr codeName="Planilha1"/>
  <dimension ref="A1:AB37"/>
  <sheetViews>
    <sheetView showGridLines="0" zoomScale="85" zoomScaleNormal="85" workbookViewId="0">
      <selection activeCell="E12" sqref="E12"/>
    </sheetView>
  </sheetViews>
  <sheetFormatPr defaultRowHeight="15" x14ac:dyDescent="0.25"/>
  <cols>
    <col min="2" max="2" width="13.7109375" customWidth="1"/>
    <col min="5" max="5" width="12.7109375" bestFit="1" customWidth="1"/>
    <col min="8" max="8" width="11.7109375" bestFit="1" customWidth="1"/>
    <col min="10" max="10" width="7.85546875" customWidth="1"/>
    <col min="22" max="22" width="15.7109375" bestFit="1" customWidth="1"/>
  </cols>
  <sheetData>
    <row r="1" spans="1:28" ht="16.5" thickTop="1" thickBot="1" x14ac:dyDescent="0.3">
      <c r="A1" s="23"/>
      <c r="B1" s="24"/>
      <c r="C1" s="24"/>
      <c r="D1" s="24"/>
      <c r="E1" s="24"/>
      <c r="F1" s="24"/>
      <c r="G1" s="24"/>
      <c r="H1" s="24"/>
      <c r="I1" s="24"/>
      <c r="J1" s="25"/>
      <c r="K1" s="370"/>
      <c r="L1" s="370"/>
      <c r="M1" s="370"/>
      <c r="N1" s="370"/>
      <c r="O1" s="370"/>
      <c r="P1" s="23"/>
      <c r="Q1" s="24"/>
      <c r="R1" s="24"/>
      <c r="S1" s="24"/>
      <c r="T1" s="24"/>
      <c r="U1" s="24"/>
      <c r="V1" s="279"/>
      <c r="W1" s="24"/>
      <c r="X1" s="24"/>
      <c r="Y1" s="24"/>
      <c r="Z1" s="24"/>
      <c r="AA1" s="24"/>
      <c r="AB1" s="25"/>
    </row>
    <row r="2" spans="1:28" x14ac:dyDescent="0.25">
      <c r="A2" s="26"/>
      <c r="B2" s="8"/>
      <c r="C2" s="9"/>
      <c r="D2" s="9"/>
      <c r="E2" s="9"/>
      <c r="F2" s="9"/>
      <c r="G2" s="9"/>
      <c r="H2" s="10"/>
      <c r="I2" s="6"/>
      <c r="J2" s="7"/>
      <c r="K2" s="370"/>
      <c r="L2" s="370"/>
      <c r="M2" s="370"/>
      <c r="N2" s="370"/>
      <c r="O2" s="370"/>
      <c r="P2" s="26"/>
      <c r="Q2" s="8"/>
      <c r="R2" s="9"/>
      <c r="S2" s="9"/>
      <c r="T2" s="9"/>
      <c r="U2" s="9"/>
      <c r="V2" s="9"/>
      <c r="W2" s="9"/>
      <c r="X2" s="9"/>
      <c r="Y2" s="9"/>
      <c r="Z2" s="9"/>
      <c r="AA2" s="10"/>
      <c r="AB2" s="7"/>
    </row>
    <row r="3" spans="1:28" x14ac:dyDescent="0.25">
      <c r="A3" s="26"/>
      <c r="B3" s="20" t="s">
        <v>0</v>
      </c>
      <c r="C3" s="21"/>
      <c r="D3" s="6"/>
      <c r="E3" s="6"/>
      <c r="F3" s="6"/>
      <c r="G3" s="6"/>
      <c r="H3" s="11"/>
      <c r="I3" s="6"/>
      <c r="J3" s="7"/>
      <c r="K3" s="370"/>
      <c r="L3" s="370"/>
      <c r="M3" s="370"/>
      <c r="N3" s="370"/>
      <c r="O3" s="370"/>
      <c r="P3" s="26"/>
      <c r="Q3" s="12"/>
      <c r="R3" s="281" t="s">
        <v>1</v>
      </c>
      <c r="S3" s="21"/>
      <c r="T3" s="6"/>
      <c r="U3" s="6"/>
      <c r="V3" s="6"/>
      <c r="W3" s="6"/>
      <c r="X3" s="6"/>
      <c r="Y3" s="6"/>
      <c r="Z3" s="6"/>
      <c r="AA3" s="11"/>
      <c r="AB3" s="7"/>
    </row>
    <row r="4" spans="1:28" x14ac:dyDescent="0.25">
      <c r="A4" s="26"/>
      <c r="B4" s="12"/>
      <c r="C4" s="6"/>
      <c r="D4" s="6"/>
      <c r="E4" s="6"/>
      <c r="F4" s="6"/>
      <c r="G4" s="6"/>
      <c r="H4" s="11"/>
      <c r="I4" s="6"/>
      <c r="J4" s="7"/>
      <c r="K4" s="370"/>
      <c r="L4" s="370"/>
      <c r="M4" s="370"/>
      <c r="N4" s="370"/>
      <c r="O4" s="370"/>
      <c r="P4" s="26"/>
      <c r="Q4" s="12"/>
      <c r="R4" s="6"/>
      <c r="S4" s="6"/>
      <c r="T4" s="6"/>
      <c r="U4" s="6"/>
      <c r="V4" s="6"/>
      <c r="W4" s="6"/>
      <c r="X4" s="6"/>
      <c r="Y4" s="6"/>
      <c r="Z4" s="6"/>
      <c r="AA4" s="11"/>
      <c r="AB4" s="7"/>
    </row>
    <row r="5" spans="1:28" x14ac:dyDescent="0.25">
      <c r="A5" s="26"/>
      <c r="B5" s="12"/>
      <c r="C5" s="6"/>
      <c r="D5" s="6"/>
      <c r="E5" s="6"/>
      <c r="F5" s="6"/>
      <c r="G5" s="6"/>
      <c r="H5" s="11"/>
      <c r="I5" s="6"/>
      <c r="J5" s="7"/>
      <c r="K5" s="370"/>
      <c r="L5" s="370"/>
      <c r="M5" s="370"/>
      <c r="N5" s="370"/>
      <c r="O5" s="370"/>
      <c r="P5" s="26"/>
      <c r="Q5" s="12"/>
      <c r="R5" s="280" t="s">
        <v>2</v>
      </c>
      <c r="S5" s="21"/>
      <c r="T5" s="6"/>
      <c r="U5" s="6"/>
      <c r="V5" s="6"/>
      <c r="W5" s="6"/>
      <c r="X5" s="6"/>
      <c r="Y5" s="6"/>
      <c r="Z5" s="6"/>
      <c r="AA5" s="11"/>
      <c r="AB5" s="7"/>
    </row>
    <row r="6" spans="1:28" ht="15.75" thickBot="1" x14ac:dyDescent="0.3">
      <c r="A6" s="26"/>
      <c r="B6" s="22" t="s">
        <v>2</v>
      </c>
      <c r="C6" s="21"/>
      <c r="D6" s="6"/>
      <c r="E6" s="6"/>
      <c r="F6" s="6"/>
      <c r="G6" s="6"/>
      <c r="H6" s="11"/>
      <c r="I6" s="6"/>
      <c r="J6" s="7"/>
      <c r="K6" s="370"/>
      <c r="L6" s="370"/>
      <c r="M6" s="370"/>
      <c r="N6" s="370"/>
      <c r="O6" s="370"/>
      <c r="P6" s="26"/>
      <c r="Q6" s="13"/>
      <c r="R6" s="14"/>
      <c r="S6" s="14"/>
      <c r="T6" s="14"/>
      <c r="U6" s="14"/>
      <c r="V6" s="14"/>
      <c r="W6" s="14"/>
      <c r="X6" s="14"/>
      <c r="Y6" s="14"/>
      <c r="Z6" s="14"/>
      <c r="AA6" s="15"/>
      <c r="AB6" s="7"/>
    </row>
    <row r="7" spans="1:28" ht="15.75" thickBot="1" x14ac:dyDescent="0.3">
      <c r="A7" s="26"/>
      <c r="B7" s="13"/>
      <c r="C7" s="14"/>
      <c r="D7" s="14"/>
      <c r="E7" s="14"/>
      <c r="F7" s="14"/>
      <c r="G7" s="14"/>
      <c r="H7" s="15"/>
      <c r="I7" s="6"/>
      <c r="J7" s="7"/>
      <c r="K7" s="370"/>
      <c r="L7" s="370"/>
      <c r="M7" s="370"/>
      <c r="N7" s="370"/>
      <c r="O7" s="370"/>
      <c r="P7" s="2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7"/>
    </row>
    <row r="8" spans="1:28" ht="15.75" thickBot="1" x14ac:dyDescent="0.3">
      <c r="A8" s="26"/>
      <c r="B8" s="6"/>
      <c r="C8" s="6"/>
      <c r="D8" s="6"/>
      <c r="E8" s="6"/>
      <c r="F8" s="6"/>
      <c r="G8" s="6"/>
      <c r="H8" s="6"/>
      <c r="I8" s="6"/>
      <c r="J8" s="7"/>
      <c r="K8" s="370"/>
      <c r="L8" s="370"/>
      <c r="M8" s="370"/>
      <c r="N8" s="370"/>
      <c r="O8" s="370"/>
      <c r="P8" s="2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7"/>
    </row>
    <row r="9" spans="1:28" ht="15" customHeight="1" x14ac:dyDescent="0.25">
      <c r="A9" s="26"/>
      <c r="B9" s="6"/>
      <c r="C9" s="6"/>
      <c r="D9" s="8"/>
      <c r="E9" s="9"/>
      <c r="F9" s="10"/>
      <c r="G9" s="6"/>
      <c r="H9" s="6"/>
      <c r="I9" s="6"/>
      <c r="J9" s="7"/>
      <c r="K9" s="370"/>
      <c r="L9" s="370"/>
      <c r="M9" s="370"/>
      <c r="N9" s="370"/>
      <c r="O9" s="370"/>
      <c r="P9" s="26"/>
      <c r="Q9" s="6"/>
      <c r="R9" s="8"/>
      <c r="S9" s="9"/>
      <c r="T9" s="9"/>
      <c r="U9" s="9"/>
      <c r="V9" s="9"/>
      <c r="W9" s="9"/>
      <c r="X9" s="9"/>
      <c r="Y9" s="9"/>
      <c r="Z9" s="10"/>
      <c r="AA9" s="6"/>
      <c r="AB9" s="7"/>
    </row>
    <row r="10" spans="1:28" ht="15" customHeight="1" x14ac:dyDescent="0.25">
      <c r="A10" s="26"/>
      <c r="B10" s="6"/>
      <c r="C10" s="6"/>
      <c r="D10" s="12"/>
      <c r="E10" s="6"/>
      <c r="F10" s="11"/>
      <c r="G10" s="6"/>
      <c r="H10" s="6"/>
      <c r="I10" s="6"/>
      <c r="J10" s="7"/>
      <c r="K10" s="370"/>
      <c r="L10" s="370"/>
      <c r="M10" s="370"/>
      <c r="N10" s="370"/>
      <c r="O10" s="370"/>
      <c r="P10" s="26"/>
      <c r="Q10" s="6"/>
      <c r="R10" s="12"/>
      <c r="S10" s="6"/>
      <c r="T10" s="6"/>
      <c r="U10" s="6"/>
      <c r="V10" s="6"/>
      <c r="W10" s="6"/>
      <c r="X10" s="6"/>
      <c r="Y10" s="6"/>
      <c r="Z10" s="11"/>
      <c r="AA10" s="6"/>
      <c r="AB10" s="7"/>
    </row>
    <row r="11" spans="1:28" x14ac:dyDescent="0.25">
      <c r="A11" s="26"/>
      <c r="B11" s="6"/>
      <c r="C11" s="6"/>
      <c r="D11" s="571" t="s">
        <v>3</v>
      </c>
      <c r="E11" s="572"/>
      <c r="F11" s="573"/>
      <c r="G11" s="6"/>
      <c r="H11" s="6"/>
      <c r="I11" s="6"/>
      <c r="J11" s="7"/>
      <c r="K11" s="370"/>
      <c r="L11" s="370"/>
      <c r="M11" s="370"/>
      <c r="N11" s="370"/>
      <c r="O11" s="370"/>
      <c r="P11" s="26"/>
      <c r="Q11" s="6"/>
      <c r="R11" s="12"/>
      <c r="S11" s="6"/>
      <c r="T11" s="6"/>
      <c r="U11" s="6"/>
      <c r="V11" s="6"/>
      <c r="W11" s="6"/>
      <c r="X11" s="6"/>
      <c r="Y11" s="6"/>
      <c r="Z11" s="11"/>
      <c r="AA11" s="6"/>
      <c r="AB11" s="7"/>
    </row>
    <row r="12" spans="1:28" x14ac:dyDescent="0.25">
      <c r="A12" s="26"/>
      <c r="B12" s="6"/>
      <c r="C12" s="6"/>
      <c r="D12" s="382" t="s">
        <v>4</v>
      </c>
      <c r="F12" s="381"/>
      <c r="G12" s="6"/>
      <c r="H12" s="6"/>
      <c r="I12" s="6"/>
      <c r="J12" s="7"/>
      <c r="K12" s="370"/>
      <c r="L12" s="370"/>
      <c r="M12" s="370"/>
      <c r="N12" s="370"/>
      <c r="O12" s="370"/>
      <c r="P12" s="26"/>
      <c r="Q12" s="6"/>
      <c r="R12" s="12"/>
      <c r="S12" s="6"/>
      <c r="T12" s="6"/>
      <c r="U12" s="6"/>
      <c r="V12" s="6"/>
      <c r="W12" s="6"/>
      <c r="X12" s="6"/>
      <c r="Y12" s="6"/>
      <c r="Z12" s="11"/>
      <c r="AA12" s="6"/>
      <c r="AB12" s="7"/>
    </row>
    <row r="13" spans="1:28" ht="15" customHeight="1" x14ac:dyDescent="0.25">
      <c r="A13" s="26"/>
      <c r="B13" s="6"/>
      <c r="C13" s="6"/>
      <c r="D13" s="16"/>
      <c r="E13" s="6"/>
      <c r="F13" s="11"/>
      <c r="G13" s="6"/>
      <c r="H13" s="6"/>
      <c r="I13" s="6"/>
      <c r="J13" s="7"/>
      <c r="K13" s="370"/>
      <c r="L13" s="370"/>
      <c r="M13" s="370"/>
      <c r="N13" s="370"/>
      <c r="O13" s="370"/>
      <c r="P13" s="26"/>
      <c r="Q13" s="6"/>
      <c r="R13" s="12"/>
      <c r="S13" s="6"/>
      <c r="T13" s="6"/>
      <c r="U13" s="6"/>
      <c r="V13" s="6"/>
      <c r="W13" s="6"/>
      <c r="X13" s="6"/>
      <c r="Y13" s="6"/>
      <c r="Z13" s="11"/>
      <c r="AA13" s="6"/>
      <c r="AB13" s="7"/>
    </row>
    <row r="14" spans="1:28" ht="34.5" x14ac:dyDescent="0.55000000000000004">
      <c r="A14" s="26"/>
      <c r="B14" s="6"/>
      <c r="C14" s="6"/>
      <c r="D14" s="16"/>
      <c r="E14" s="6"/>
      <c r="F14" s="11"/>
      <c r="G14" s="373"/>
      <c r="H14" s="6"/>
      <c r="I14" s="6"/>
      <c r="J14" s="7"/>
      <c r="K14" s="580" t="s">
        <v>5</v>
      </c>
      <c r="L14" s="581"/>
      <c r="M14" s="581"/>
      <c r="N14" s="581"/>
      <c r="O14" s="582"/>
      <c r="P14" s="26"/>
      <c r="Q14" s="6"/>
      <c r="R14" s="562" t="s">
        <v>6</v>
      </c>
      <c r="S14" s="563"/>
      <c r="T14" s="563"/>
      <c r="U14" s="563"/>
      <c r="V14" s="563"/>
      <c r="W14" s="563"/>
      <c r="X14" s="563"/>
      <c r="Y14" s="563"/>
      <c r="Z14" s="564"/>
      <c r="AA14" s="6"/>
      <c r="AB14" s="7"/>
    </row>
    <row r="15" spans="1:28" x14ac:dyDescent="0.25">
      <c r="A15" s="26"/>
      <c r="B15" s="6"/>
      <c r="C15" s="6"/>
      <c r="D15" s="12"/>
      <c r="E15" s="6"/>
      <c r="F15" s="11"/>
      <c r="G15" s="6"/>
      <c r="H15" s="6"/>
      <c r="I15" s="6"/>
      <c r="J15" s="7"/>
      <c r="K15" s="370"/>
      <c r="L15" s="370"/>
      <c r="M15" s="370"/>
      <c r="N15" s="370"/>
      <c r="O15" s="370"/>
      <c r="P15" s="26"/>
      <c r="Q15" s="6"/>
      <c r="R15" s="12"/>
      <c r="S15" s="374"/>
      <c r="T15" s="375"/>
      <c r="U15" s="376" t="s">
        <v>7</v>
      </c>
      <c r="V15" s="377">
        <v>4500751316</v>
      </c>
      <c r="W15" s="378" t="s">
        <v>8</v>
      </c>
      <c r="X15" s="375"/>
      <c r="Y15" s="379"/>
      <c r="Z15" s="11"/>
      <c r="AA15" s="6"/>
      <c r="AB15" s="7"/>
    </row>
    <row r="16" spans="1:28" x14ac:dyDescent="0.25">
      <c r="A16" s="26"/>
      <c r="B16" s="6"/>
      <c r="C16" s="6"/>
      <c r="D16" s="12"/>
      <c r="E16" s="6"/>
      <c r="F16" s="11"/>
      <c r="G16" s="6"/>
      <c r="H16" s="6"/>
      <c r="I16" s="6"/>
      <c r="J16" s="7"/>
      <c r="K16" s="370"/>
      <c r="L16" s="370"/>
      <c r="M16" s="370"/>
      <c r="N16" s="370"/>
      <c r="O16" s="370"/>
      <c r="P16" s="26"/>
      <c r="Q16" s="6"/>
      <c r="R16" s="12"/>
      <c r="S16" s="6"/>
      <c r="T16" s="6"/>
      <c r="U16" s="6"/>
      <c r="V16" s="6"/>
      <c r="W16" s="6"/>
      <c r="X16" s="6"/>
      <c r="Y16" s="6"/>
      <c r="Z16" s="11"/>
      <c r="AA16" s="6"/>
      <c r="AB16" s="7"/>
    </row>
    <row r="17" spans="1:28" x14ac:dyDescent="0.25">
      <c r="A17" s="26"/>
      <c r="B17" s="6"/>
      <c r="C17" s="6"/>
      <c r="D17" s="571" t="s">
        <v>9</v>
      </c>
      <c r="E17" s="572"/>
      <c r="F17" s="573"/>
      <c r="G17" s="6"/>
      <c r="H17" s="6"/>
      <c r="I17" s="6"/>
      <c r="J17" s="7"/>
      <c r="K17" s="370"/>
      <c r="L17" s="370"/>
      <c r="M17" s="370"/>
      <c r="N17" s="370"/>
      <c r="O17" s="370"/>
      <c r="P17" s="26"/>
      <c r="Q17" s="6"/>
      <c r="R17" s="12"/>
      <c r="S17" s="6"/>
      <c r="T17" s="6"/>
      <c r="U17" s="6"/>
      <c r="V17" s="6"/>
      <c r="W17" s="6"/>
      <c r="X17" s="6"/>
      <c r="Y17" s="6"/>
      <c r="Z17" s="11"/>
      <c r="AA17" s="6"/>
      <c r="AB17" s="7"/>
    </row>
    <row r="18" spans="1:28" x14ac:dyDescent="0.25">
      <c r="A18" s="26"/>
      <c r="B18" s="6"/>
      <c r="C18" s="6"/>
      <c r="D18" s="380" t="s">
        <v>4</v>
      </c>
      <c r="F18" s="381"/>
      <c r="G18" s="6"/>
      <c r="H18" s="6"/>
      <c r="I18" s="6"/>
      <c r="J18" s="7"/>
      <c r="K18" s="370"/>
      <c r="L18" s="370"/>
      <c r="M18" s="370"/>
      <c r="N18" s="370"/>
      <c r="O18" s="370"/>
      <c r="P18" s="26"/>
      <c r="Q18" s="6"/>
      <c r="R18" s="12"/>
      <c r="S18" s="6"/>
      <c r="T18" s="6"/>
      <c r="U18" s="6"/>
      <c r="V18" s="6"/>
      <c r="W18" s="6"/>
      <c r="X18" s="6"/>
      <c r="Y18" s="6"/>
      <c r="Z18" s="11"/>
      <c r="AA18" s="6"/>
      <c r="AB18" s="7"/>
    </row>
    <row r="19" spans="1:28" x14ac:dyDescent="0.25">
      <c r="A19" s="26"/>
      <c r="B19" s="6"/>
      <c r="C19" s="6"/>
      <c r="D19" s="12"/>
      <c r="E19" s="6"/>
      <c r="F19" s="11"/>
      <c r="G19" s="6"/>
      <c r="H19" s="6"/>
      <c r="I19" s="6"/>
      <c r="J19" s="7"/>
      <c r="K19" s="370"/>
      <c r="L19" s="370"/>
      <c r="M19" s="370"/>
      <c r="N19" s="370"/>
      <c r="O19" s="370"/>
      <c r="P19" s="26"/>
      <c r="Q19" s="6"/>
      <c r="R19" s="12"/>
      <c r="S19" s="6"/>
      <c r="T19" s="6"/>
      <c r="U19" s="6"/>
      <c r="V19" s="6"/>
      <c r="W19" s="6"/>
      <c r="X19" s="6"/>
      <c r="Y19" s="6"/>
      <c r="Z19" s="11"/>
      <c r="AA19" s="6"/>
      <c r="AB19" s="7"/>
    </row>
    <row r="20" spans="1:28" ht="28.5" x14ac:dyDescent="0.45">
      <c r="A20" s="26"/>
      <c r="B20" s="6"/>
      <c r="C20" s="6"/>
      <c r="D20" s="12"/>
      <c r="E20" s="6"/>
      <c r="F20" s="11"/>
      <c r="G20" s="6"/>
      <c r="H20" s="6"/>
      <c r="I20" s="6"/>
      <c r="J20" s="7"/>
      <c r="K20" s="371" t="s">
        <v>10</v>
      </c>
      <c r="L20" s="371"/>
      <c r="M20" s="370"/>
      <c r="N20" s="370"/>
      <c r="O20" s="370"/>
      <c r="P20" s="26"/>
      <c r="Q20" s="6"/>
      <c r="R20" s="12"/>
      <c r="S20" s="6"/>
      <c r="T20" s="6"/>
      <c r="U20" s="6"/>
      <c r="V20" s="6"/>
      <c r="W20" s="6"/>
      <c r="X20" s="6"/>
      <c r="Y20" s="6"/>
      <c r="Z20" s="11"/>
      <c r="AA20" s="6"/>
      <c r="AB20" s="7"/>
    </row>
    <row r="21" spans="1:28" ht="26.25" x14ac:dyDescent="0.4">
      <c r="A21" s="26"/>
      <c r="B21" s="6"/>
      <c r="C21" s="6"/>
      <c r="D21" s="12"/>
      <c r="E21" s="6"/>
      <c r="F21" s="11"/>
      <c r="G21" s="6"/>
      <c r="H21" s="6"/>
      <c r="I21" s="6" t="s">
        <v>11</v>
      </c>
      <c r="J21" s="7"/>
      <c r="K21" s="583" t="s">
        <v>12</v>
      </c>
      <c r="L21" s="584"/>
      <c r="M21" s="584"/>
      <c r="N21" s="584"/>
      <c r="O21" s="585"/>
      <c r="P21" s="26"/>
      <c r="Q21" s="6"/>
      <c r="R21" s="562" t="s">
        <v>13</v>
      </c>
      <c r="S21" s="563"/>
      <c r="T21" s="563"/>
      <c r="U21" s="563"/>
      <c r="V21" s="563"/>
      <c r="W21" s="563"/>
      <c r="X21" s="563"/>
      <c r="Y21" s="563"/>
      <c r="Z21" s="564"/>
      <c r="AA21" s="6"/>
      <c r="AB21" s="7"/>
    </row>
    <row r="22" spans="1:28" x14ac:dyDescent="0.25">
      <c r="A22" s="26"/>
      <c r="B22" s="6"/>
      <c r="C22" s="6"/>
      <c r="D22" s="12"/>
      <c r="E22" s="6"/>
      <c r="F22" s="11"/>
      <c r="G22" s="6"/>
      <c r="H22" s="6"/>
      <c r="I22" s="6"/>
      <c r="J22" s="7"/>
      <c r="K22" s="372"/>
      <c r="L22" s="372"/>
      <c r="M22" s="372"/>
      <c r="N22" s="372"/>
      <c r="O22" s="372"/>
      <c r="P22" s="26"/>
      <c r="Q22" s="6"/>
      <c r="R22" s="12"/>
      <c r="S22" s="374"/>
      <c r="T22" s="375"/>
      <c r="U22" s="375"/>
      <c r="V22" s="377">
        <v>1000225904</v>
      </c>
      <c r="W22" s="377"/>
      <c r="X22" s="375"/>
      <c r="Y22" s="379"/>
      <c r="Z22" s="11"/>
      <c r="AA22" s="6"/>
      <c r="AB22" s="7"/>
    </row>
    <row r="23" spans="1:28" x14ac:dyDescent="0.25">
      <c r="A23" s="26"/>
      <c r="B23" s="6"/>
      <c r="C23" s="6"/>
      <c r="D23" s="12"/>
      <c r="E23" s="6"/>
      <c r="F23" s="11"/>
      <c r="G23" s="6"/>
      <c r="H23" s="6"/>
      <c r="I23" s="6"/>
      <c r="J23" s="7"/>
      <c r="K23" s="370"/>
      <c r="L23" s="370"/>
      <c r="M23" s="370"/>
      <c r="N23" s="370"/>
      <c r="O23" s="370"/>
      <c r="P23" s="26"/>
      <c r="Q23" s="6"/>
      <c r="R23" s="12"/>
      <c r="S23" s="6"/>
      <c r="T23" s="6"/>
      <c r="U23" s="6"/>
      <c r="V23" s="6"/>
      <c r="W23" s="6"/>
      <c r="X23" s="6"/>
      <c r="Y23" s="6"/>
      <c r="Z23" s="11"/>
      <c r="AA23" s="6"/>
      <c r="AB23" s="7"/>
    </row>
    <row r="24" spans="1:28" x14ac:dyDescent="0.25">
      <c r="A24" s="26"/>
      <c r="B24" s="6"/>
      <c r="C24" s="6"/>
      <c r="D24" s="571" t="s">
        <v>14</v>
      </c>
      <c r="E24" s="572"/>
      <c r="F24" s="573"/>
      <c r="G24" s="6"/>
      <c r="H24" s="6"/>
      <c r="I24" s="6"/>
      <c r="J24" s="7"/>
      <c r="K24" s="370"/>
      <c r="L24" s="370"/>
      <c r="M24" s="370"/>
      <c r="N24" s="370"/>
      <c r="O24" s="370"/>
      <c r="P24" s="26"/>
      <c r="Q24" s="6"/>
      <c r="R24" s="12"/>
      <c r="S24" s="6"/>
      <c r="T24" s="6"/>
      <c r="U24" s="6"/>
      <c r="V24" s="6"/>
      <c r="W24" s="6"/>
      <c r="X24" s="6"/>
      <c r="Y24" s="6"/>
      <c r="Z24" s="11"/>
      <c r="AA24" s="6"/>
      <c r="AB24" s="7"/>
    </row>
    <row r="25" spans="1:28" x14ac:dyDescent="0.25">
      <c r="A25" s="26"/>
      <c r="B25" s="6"/>
      <c r="C25" s="6"/>
      <c r="D25" s="380" t="s">
        <v>15</v>
      </c>
      <c r="E25" s="377"/>
      <c r="F25" s="381"/>
      <c r="G25" s="6"/>
      <c r="H25" s="6"/>
      <c r="I25" s="6"/>
      <c r="J25" s="7"/>
      <c r="K25" s="370"/>
      <c r="L25" s="370"/>
      <c r="M25" s="370"/>
      <c r="N25" s="370"/>
      <c r="O25" s="370"/>
      <c r="P25" s="26"/>
      <c r="Q25" s="6"/>
      <c r="R25" s="12"/>
      <c r="S25" s="6"/>
      <c r="T25" s="6"/>
      <c r="U25" s="6"/>
      <c r="V25" s="6"/>
      <c r="W25" s="6"/>
      <c r="X25" s="6"/>
      <c r="Y25" s="6"/>
      <c r="Z25" s="11"/>
      <c r="AA25" s="6"/>
      <c r="AB25" s="7"/>
    </row>
    <row r="26" spans="1:28" x14ac:dyDescent="0.25">
      <c r="A26" s="26"/>
      <c r="B26" s="6"/>
      <c r="C26" s="6"/>
      <c r="D26" s="12"/>
      <c r="E26" s="6"/>
      <c r="F26" s="11"/>
      <c r="G26" s="6"/>
      <c r="H26" s="6"/>
      <c r="I26" s="6"/>
      <c r="J26" s="7"/>
      <c r="K26" s="370"/>
      <c r="L26" s="370"/>
      <c r="M26" s="370"/>
      <c r="N26" s="370"/>
      <c r="O26" s="370"/>
      <c r="P26" s="26"/>
      <c r="Q26" s="6"/>
      <c r="R26" s="12"/>
      <c r="S26" s="6"/>
      <c r="T26" s="6"/>
      <c r="U26" s="6"/>
      <c r="V26" s="6"/>
      <c r="W26" s="6"/>
      <c r="X26" s="6"/>
      <c r="Y26" s="6"/>
      <c r="Z26" s="11"/>
      <c r="AA26" s="6"/>
      <c r="AB26" s="7"/>
    </row>
    <row r="27" spans="1:28" x14ac:dyDescent="0.25">
      <c r="A27" s="26"/>
      <c r="B27" s="6"/>
      <c r="C27" s="6"/>
      <c r="D27" s="12"/>
      <c r="E27" s="6"/>
      <c r="F27" s="11"/>
      <c r="G27" s="6"/>
      <c r="H27" s="6"/>
      <c r="I27" s="6"/>
      <c r="J27" s="7"/>
      <c r="K27" s="370"/>
      <c r="L27" s="370"/>
      <c r="M27" s="370"/>
      <c r="N27" s="370"/>
      <c r="O27" s="370"/>
      <c r="P27" s="26"/>
      <c r="Q27" s="6"/>
      <c r="R27" s="12"/>
      <c r="S27" s="6"/>
      <c r="T27" s="6"/>
      <c r="U27" s="6"/>
      <c r="V27" s="6"/>
      <c r="W27" s="6"/>
      <c r="X27" s="6"/>
      <c r="Y27" s="6"/>
      <c r="Z27" s="11"/>
      <c r="AA27" s="6"/>
      <c r="AB27" s="7"/>
    </row>
    <row r="28" spans="1:28" x14ac:dyDescent="0.25">
      <c r="A28" s="26"/>
      <c r="B28" s="6"/>
      <c r="C28" s="6"/>
      <c r="D28" s="12"/>
      <c r="E28" s="6"/>
      <c r="F28" s="11"/>
      <c r="G28" s="6"/>
      <c r="H28" s="6"/>
      <c r="I28" s="6"/>
      <c r="J28" s="7"/>
      <c r="K28" s="370"/>
      <c r="L28" s="370"/>
      <c r="M28" s="370"/>
      <c r="N28" s="370"/>
      <c r="O28" s="370"/>
      <c r="P28" s="26"/>
      <c r="Q28" s="6"/>
      <c r="R28" s="12"/>
      <c r="S28" s="6"/>
      <c r="T28" s="6"/>
      <c r="U28" s="6"/>
      <c r="V28" s="6"/>
      <c r="W28" s="6"/>
      <c r="X28" s="6"/>
      <c r="Y28" s="6"/>
      <c r="Z28" s="11"/>
      <c r="AA28" s="6"/>
      <c r="AB28" s="7"/>
    </row>
    <row r="29" spans="1:28" x14ac:dyDescent="0.25">
      <c r="A29" s="26"/>
      <c r="B29" s="6"/>
      <c r="C29" s="6"/>
      <c r="D29" s="12"/>
      <c r="E29" s="6"/>
      <c r="F29" s="11"/>
      <c r="G29" s="6"/>
      <c r="H29" s="6"/>
      <c r="I29" s="6"/>
      <c r="J29" s="7"/>
      <c r="K29" s="370"/>
      <c r="L29" s="370"/>
      <c r="M29" s="370"/>
      <c r="N29" s="370"/>
      <c r="O29" s="370"/>
      <c r="P29" s="26"/>
      <c r="Q29" s="6"/>
      <c r="R29" s="12"/>
      <c r="S29" s="6"/>
      <c r="T29" s="6"/>
      <c r="U29" s="6"/>
      <c r="V29" s="6"/>
      <c r="W29" s="6"/>
      <c r="X29" s="6"/>
      <c r="Y29" s="6"/>
      <c r="Z29" s="11"/>
      <c r="AA29" s="6"/>
      <c r="AB29" s="7"/>
    </row>
    <row r="30" spans="1:28" x14ac:dyDescent="0.25">
      <c r="A30" s="26"/>
      <c r="B30" s="6"/>
      <c r="C30" s="6"/>
      <c r="D30" s="12"/>
      <c r="E30" s="6"/>
      <c r="F30" s="11"/>
      <c r="G30" s="6"/>
      <c r="H30" s="6"/>
      <c r="I30" s="6"/>
      <c r="J30" s="7"/>
      <c r="K30" s="370"/>
      <c r="L30" s="370"/>
      <c r="M30" s="370"/>
      <c r="N30" s="370"/>
      <c r="O30" s="370"/>
      <c r="P30" s="26"/>
      <c r="Q30" s="6"/>
      <c r="R30" s="12"/>
      <c r="S30" s="6"/>
      <c r="T30" s="6"/>
      <c r="U30" s="6"/>
      <c r="V30" s="6"/>
      <c r="W30" s="6"/>
      <c r="X30" s="6"/>
      <c r="Y30" s="6"/>
      <c r="Z30" s="11"/>
      <c r="AA30" s="6"/>
      <c r="AB30" s="7"/>
    </row>
    <row r="31" spans="1:28" x14ac:dyDescent="0.25">
      <c r="A31" s="26"/>
      <c r="B31" s="6"/>
      <c r="C31" s="6"/>
      <c r="D31" s="12"/>
      <c r="E31" s="6"/>
      <c r="F31" s="11"/>
      <c r="G31" s="6"/>
      <c r="H31" s="6"/>
      <c r="I31" s="6"/>
      <c r="J31" s="7"/>
      <c r="K31" s="370"/>
      <c r="L31" s="370"/>
      <c r="M31" s="370"/>
      <c r="N31" s="370"/>
      <c r="O31" s="370"/>
      <c r="P31" s="26"/>
      <c r="Q31" s="6"/>
      <c r="R31" s="12"/>
      <c r="S31" s="6"/>
      <c r="T31" s="6"/>
      <c r="U31" s="6"/>
      <c r="V31" s="6"/>
      <c r="W31" s="6"/>
      <c r="X31" s="6"/>
      <c r="Y31" s="6"/>
      <c r="Z31" s="11"/>
      <c r="AA31" s="6"/>
      <c r="AB31" s="7"/>
    </row>
    <row r="32" spans="1:28" ht="15.75" thickBot="1" x14ac:dyDescent="0.3">
      <c r="A32" s="26"/>
      <c r="B32" s="6"/>
      <c r="C32" s="6"/>
      <c r="D32" s="12"/>
      <c r="E32" s="6"/>
      <c r="F32" s="11"/>
      <c r="G32" s="6"/>
      <c r="H32" s="6"/>
      <c r="I32" s="6"/>
      <c r="J32" s="7"/>
      <c r="K32" s="370"/>
      <c r="L32" s="370"/>
      <c r="M32" s="370"/>
      <c r="N32" s="370"/>
      <c r="O32" s="370"/>
      <c r="P32" s="26"/>
      <c r="Q32" s="6"/>
      <c r="R32" s="13"/>
      <c r="S32" s="14"/>
      <c r="T32" s="14"/>
      <c r="U32" s="14"/>
      <c r="V32" s="14"/>
      <c r="W32" s="14"/>
      <c r="X32" s="14"/>
      <c r="Y32" s="14"/>
      <c r="Z32" s="15"/>
      <c r="AA32" s="6"/>
      <c r="AB32" s="7"/>
    </row>
    <row r="33" spans="1:28" ht="15.75" thickBot="1" x14ac:dyDescent="0.3">
      <c r="A33" s="26"/>
      <c r="B33" s="6"/>
      <c r="C33" s="6"/>
      <c r="D33" s="13"/>
      <c r="E33" s="14"/>
      <c r="F33" s="15"/>
      <c r="G33" s="6"/>
      <c r="H33" s="6"/>
      <c r="I33" s="6"/>
      <c r="J33" s="7"/>
      <c r="K33" s="370"/>
      <c r="L33" s="370"/>
      <c r="M33" s="370"/>
      <c r="N33" s="370"/>
      <c r="O33" s="370"/>
      <c r="P33" s="2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7"/>
    </row>
    <row r="34" spans="1:28" x14ac:dyDescent="0.25">
      <c r="A34" s="26"/>
      <c r="B34" s="6"/>
      <c r="C34" s="6"/>
      <c r="D34" s="6"/>
      <c r="E34" s="6"/>
      <c r="F34" s="6"/>
      <c r="G34" s="6"/>
      <c r="H34" s="6"/>
      <c r="I34" s="6"/>
      <c r="J34" s="7"/>
      <c r="K34" s="370"/>
      <c r="L34" s="370"/>
      <c r="M34" s="370"/>
      <c r="N34" s="370"/>
      <c r="O34" s="370"/>
      <c r="P34" s="2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7"/>
    </row>
    <row r="35" spans="1:28" ht="31.5" x14ac:dyDescent="0.5">
      <c r="A35" s="574" t="s">
        <v>16</v>
      </c>
      <c r="B35" s="575"/>
      <c r="C35" s="575"/>
      <c r="D35" s="575"/>
      <c r="E35" s="575"/>
      <c r="F35" s="575"/>
      <c r="G35" s="575"/>
      <c r="H35" s="575"/>
      <c r="I35" s="575"/>
      <c r="J35" s="576"/>
      <c r="K35" s="370"/>
      <c r="L35" s="370"/>
      <c r="M35" s="370"/>
      <c r="N35" s="370"/>
      <c r="O35" s="370"/>
      <c r="P35" s="565" t="s">
        <v>17</v>
      </c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7"/>
    </row>
    <row r="36" spans="1:28" ht="32.25" thickBot="1" x14ac:dyDescent="0.55000000000000004">
      <c r="A36" s="577"/>
      <c r="B36" s="578"/>
      <c r="C36" s="578"/>
      <c r="D36" s="578"/>
      <c r="E36" s="578"/>
      <c r="F36" s="578"/>
      <c r="G36" s="578"/>
      <c r="H36" s="578"/>
      <c r="I36" s="578"/>
      <c r="J36" s="579"/>
      <c r="K36" s="370"/>
      <c r="L36" s="370"/>
      <c r="M36" s="370"/>
      <c r="N36" s="370"/>
      <c r="O36" s="370"/>
      <c r="P36" s="568"/>
      <c r="Q36" s="569"/>
      <c r="R36" s="569"/>
      <c r="S36" s="569"/>
      <c r="T36" s="569"/>
      <c r="U36" s="569"/>
      <c r="V36" s="569"/>
      <c r="W36" s="569"/>
      <c r="X36" s="569"/>
      <c r="Y36" s="569"/>
      <c r="Z36" s="569"/>
      <c r="AA36" s="569"/>
      <c r="AB36" s="570"/>
    </row>
    <row r="37" spans="1:28" ht="15.75" thickTop="1" x14ac:dyDescent="0.25"/>
  </sheetData>
  <mergeCells count="10">
    <mergeCell ref="R14:Z14"/>
    <mergeCell ref="R21:Z21"/>
    <mergeCell ref="P35:AB36"/>
    <mergeCell ref="D24:F24"/>
    <mergeCell ref="D11:F11"/>
    <mergeCell ref="D17:F17"/>
    <mergeCell ref="A35:J35"/>
    <mergeCell ref="A36:J36"/>
    <mergeCell ref="K14:O14"/>
    <mergeCell ref="K21:O21"/>
  </mergeCell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boBox2">
          <controlPr defaultSize="0" autoLine="0" autoPict="0" r:id="rId5">
            <anchor moveWithCells="1">
              <from>
                <xdr:col>2</xdr:col>
                <xdr:colOff>295275</xdr:colOff>
                <xdr:row>4</xdr:row>
                <xdr:rowOff>19050</xdr:rowOff>
              </from>
              <to>
                <xdr:col>6</xdr:col>
                <xdr:colOff>238125</xdr:colOff>
                <xdr:row>6</xdr:row>
                <xdr:rowOff>38100</xdr:rowOff>
              </to>
            </anchor>
          </controlPr>
        </control>
      </mc:Choice>
      <mc:Fallback>
        <control shapeId="1037" r:id="rId4" name="ComboBox2"/>
      </mc:Fallback>
    </mc:AlternateContent>
    <mc:AlternateContent xmlns:mc="http://schemas.openxmlformats.org/markup-compatibility/2006">
      <mc:Choice Requires="x14">
        <control shapeId="1039" r:id="rId6" name="ComboBox1">
          <controlPr defaultSize="0" autoLine="0" autoPict="0" r:id="rId7">
            <anchor moveWithCells="1">
              <from>
                <xdr:col>2</xdr:col>
                <xdr:colOff>104775</xdr:colOff>
                <xdr:row>1</xdr:row>
                <xdr:rowOff>142875</xdr:rowOff>
              </from>
              <to>
                <xdr:col>6</xdr:col>
                <xdr:colOff>400050</xdr:colOff>
                <xdr:row>3</xdr:row>
                <xdr:rowOff>114300</xdr:rowOff>
              </to>
            </anchor>
          </controlPr>
        </control>
      </mc:Choice>
      <mc:Fallback>
        <control shapeId="1039" r:id="rId6" name="ComboBox1"/>
      </mc:Fallback>
    </mc:AlternateContent>
    <mc:AlternateContent xmlns:mc="http://schemas.openxmlformats.org/markup-compatibility/2006">
      <mc:Choice Requires="x14">
        <control shapeId="1043" r:id="rId8" name="ComboBoxMes">
          <controlPr defaultSize="0" autoLine="0" autoPict="0" r:id="rId9">
            <anchor moveWithCells="1">
              <from>
                <xdr:col>3</xdr:col>
                <xdr:colOff>0</xdr:colOff>
                <xdr:row>8</xdr:row>
                <xdr:rowOff>9525</xdr:rowOff>
              </from>
              <to>
                <xdr:col>5</xdr:col>
                <xdr:colOff>542925</xdr:colOff>
                <xdr:row>9</xdr:row>
                <xdr:rowOff>66675</xdr:rowOff>
              </to>
            </anchor>
          </controlPr>
        </control>
      </mc:Choice>
      <mc:Fallback>
        <control shapeId="1043" r:id="rId8" name="ComboBoxMes"/>
      </mc:Fallback>
    </mc:AlternateContent>
    <mc:AlternateContent xmlns:mc="http://schemas.openxmlformats.org/markup-compatibility/2006">
      <mc:Choice Requires="x14">
        <control shapeId="1048" r:id="rId10" name="ComboBox3">
          <controlPr defaultSize="0" autoLine="0" autoPict="0" r:id="rId11">
            <anchor moveWithCells="1">
              <from>
                <xdr:col>18</xdr:col>
                <xdr:colOff>381000</xdr:colOff>
                <xdr:row>1</xdr:row>
                <xdr:rowOff>180975</xdr:rowOff>
              </from>
              <to>
                <xdr:col>25</xdr:col>
                <xdr:colOff>142875</xdr:colOff>
                <xdr:row>3</xdr:row>
                <xdr:rowOff>76200</xdr:rowOff>
              </to>
            </anchor>
          </controlPr>
        </control>
      </mc:Choice>
      <mc:Fallback>
        <control shapeId="1048" r:id="rId10" name="ComboBox3"/>
      </mc:Fallback>
    </mc:AlternateContent>
    <mc:AlternateContent xmlns:mc="http://schemas.openxmlformats.org/markup-compatibility/2006">
      <mc:Choice Requires="x14">
        <control shapeId="1049" r:id="rId12" name="ComboBox4">
          <controlPr defaultSize="0" autoLine="0" autoPict="0" r:id="rId13">
            <anchor moveWithCells="1">
              <from>
                <xdr:col>19</xdr:col>
                <xdr:colOff>19050</xdr:colOff>
                <xdr:row>3</xdr:row>
                <xdr:rowOff>161925</xdr:rowOff>
              </from>
              <to>
                <xdr:col>24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049" r:id="rId12" name="ComboBox4"/>
      </mc:Fallback>
    </mc:AlternateContent>
    <mc:AlternateContent xmlns:mc="http://schemas.openxmlformats.org/markup-compatibility/2006">
      <mc:Choice Requires="x14">
        <control shapeId="1050" r:id="rId14" name="ComboBox5">
          <controlPr defaultSize="0" autoLine="0" autoPict="0" r:id="rId15">
            <anchor moveWithCells="1">
              <from>
                <xdr:col>17</xdr:col>
                <xdr:colOff>28575</xdr:colOff>
                <xdr:row>8</xdr:row>
                <xdr:rowOff>28575</xdr:rowOff>
              </from>
              <to>
                <xdr:col>25</xdr:col>
                <xdr:colOff>561975</xdr:colOff>
                <xdr:row>9</xdr:row>
                <xdr:rowOff>76200</xdr:rowOff>
              </to>
            </anchor>
          </controlPr>
        </control>
      </mc:Choice>
      <mc:Fallback>
        <control shapeId="1050" r:id="rId14" name="ComboBox5"/>
      </mc:Fallback>
    </mc:AlternateContent>
    <mc:AlternateContent xmlns:mc="http://schemas.openxmlformats.org/markup-compatibility/2006">
      <mc:Choice Requires="x14">
        <control shapeId="1025" r:id="rId16" name="EnviarRc">
          <controlPr defaultSize="0" print="0" autoFill="0" autoPict="0" macro="[0]!Macro3">
            <anchor moveWithCells="1">
              <from>
                <xdr:col>3</xdr:col>
                <xdr:colOff>590550</xdr:colOff>
                <xdr:row>30</xdr:row>
                <xdr:rowOff>142875</xdr:rowOff>
              </from>
              <to>
                <xdr:col>4</xdr:col>
                <xdr:colOff>781050</xdr:colOff>
                <xdr:row>32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7" name="LimparRC">
          <controlPr defaultSize="0" print="0" autoFill="0" autoPict="0" macro="[0]!LimparRc">
            <anchor moveWithCells="1" sizeWithCells="1">
              <from>
                <xdr:col>7</xdr:col>
                <xdr:colOff>647700</xdr:colOff>
                <xdr:row>31</xdr:row>
                <xdr:rowOff>66675</xdr:rowOff>
              </from>
              <to>
                <xdr:col>9</xdr:col>
                <xdr:colOff>485775</xdr:colOff>
                <xdr:row>33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Button 29">
          <controlPr defaultSize="0" print="0" autoFill="0" autoPict="0" macro="[0]!EnviarMigo">
            <anchor moveWithCells="1">
              <from>
                <xdr:col>20</xdr:col>
                <xdr:colOff>381000</xdr:colOff>
                <xdr:row>29</xdr:row>
                <xdr:rowOff>123825</xdr:rowOff>
              </from>
              <to>
                <xdr:col>22</xdr:col>
                <xdr:colOff>114300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9" name="Button 30">
          <controlPr defaultSize="0" print="0" autoFill="0" autoPict="0" macro="[0]!LimparMigo">
            <anchor moveWithCells="1" sizeWithCells="1">
              <from>
                <xdr:col>26</xdr:col>
                <xdr:colOff>76200</xdr:colOff>
                <xdr:row>31</xdr:row>
                <xdr:rowOff>104775</xdr:rowOff>
              </from>
              <to>
                <xdr:col>27</xdr:col>
                <xdr:colOff>542925</xdr:colOff>
                <xdr:row>33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6C4E-63BE-4D98-9D40-0DC9997C6F10}">
  <sheetPr codeName="Planilha2"/>
  <dimension ref="A4:M39"/>
  <sheetViews>
    <sheetView workbookViewId="0">
      <selection activeCell="B11" sqref="B11"/>
    </sheetView>
  </sheetViews>
  <sheetFormatPr defaultRowHeight="15" x14ac:dyDescent="0.25"/>
  <cols>
    <col min="1" max="1" width="42.7109375" bestFit="1" customWidth="1"/>
    <col min="4" max="4" width="18.42578125" bestFit="1" customWidth="1"/>
    <col min="5" max="5" width="49.7109375" bestFit="1" customWidth="1"/>
    <col min="6" max="6" width="51.7109375" bestFit="1" customWidth="1"/>
    <col min="7" max="7" width="32.28515625" bestFit="1" customWidth="1"/>
    <col min="8" max="8" width="51.42578125" bestFit="1" customWidth="1"/>
    <col min="9" max="9" width="23.85546875" bestFit="1" customWidth="1"/>
    <col min="10" max="10" width="41.85546875" bestFit="1" customWidth="1"/>
    <col min="11" max="11" width="43.28515625" bestFit="1" customWidth="1"/>
    <col min="12" max="12" width="24.140625" bestFit="1" customWidth="1"/>
    <col min="13" max="13" width="35.140625" bestFit="1" customWidth="1"/>
  </cols>
  <sheetData>
    <row r="4" spans="1:13" x14ac:dyDescent="0.25">
      <c r="D4" s="1" t="s">
        <v>18</v>
      </c>
      <c r="E4" s="1" t="s">
        <v>19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K4" s="1"/>
      <c r="L4" s="1"/>
      <c r="M4" s="1"/>
    </row>
    <row r="5" spans="1:13" x14ac:dyDescent="0.25">
      <c r="D5" s="1" t="s">
        <v>25</v>
      </c>
      <c r="E5" s="1" t="s">
        <v>26</v>
      </c>
      <c r="F5" s="1" t="s">
        <v>27</v>
      </c>
      <c r="G5" s="1" t="s">
        <v>28</v>
      </c>
      <c r="H5" s="1" t="s">
        <v>29</v>
      </c>
      <c r="I5" s="1" t="s">
        <v>30</v>
      </c>
      <c r="J5" s="1" t="s">
        <v>31</v>
      </c>
      <c r="K5" s="1" t="s">
        <v>32</v>
      </c>
      <c r="L5" s="1" t="s">
        <v>33</v>
      </c>
      <c r="M5" s="1" t="s">
        <v>34</v>
      </c>
    </row>
    <row r="6" spans="1:13" x14ac:dyDescent="0.25">
      <c r="D6" s="1" t="s">
        <v>35</v>
      </c>
      <c r="E6" s="1" t="s">
        <v>35</v>
      </c>
      <c r="F6" s="1"/>
      <c r="G6" s="1"/>
      <c r="H6" s="1"/>
      <c r="I6" s="1"/>
      <c r="J6" s="1"/>
      <c r="K6" s="1"/>
      <c r="L6" s="1"/>
      <c r="M6" s="1"/>
    </row>
    <row r="7" spans="1:13" x14ac:dyDescent="0.25">
      <c r="D7" s="1" t="s">
        <v>36</v>
      </c>
      <c r="E7" s="1" t="s">
        <v>36</v>
      </c>
      <c r="F7" s="1"/>
      <c r="G7" s="1"/>
      <c r="H7" s="1"/>
      <c r="I7" s="1"/>
      <c r="J7" s="1"/>
      <c r="K7" s="1"/>
      <c r="L7" s="1"/>
      <c r="M7" s="1"/>
    </row>
    <row r="8" spans="1:13" x14ac:dyDescent="0.25">
      <c r="A8" t="str" cm="1">
        <f t="array" ref="A8:A13">TRANSPOSE(E4:J4)</f>
        <v>VIVO 2405 CR01</v>
      </c>
      <c r="B8">
        <v>10</v>
      </c>
      <c r="D8" s="1" t="s">
        <v>37</v>
      </c>
      <c r="E8" s="1" t="s">
        <v>38</v>
      </c>
      <c r="F8" s="1" t="s">
        <v>39</v>
      </c>
      <c r="G8" s="1"/>
      <c r="H8" s="1"/>
      <c r="I8" s="1"/>
      <c r="J8" s="1"/>
      <c r="K8" s="1"/>
      <c r="L8" s="1"/>
      <c r="M8" s="1"/>
    </row>
    <row r="9" spans="1:13" x14ac:dyDescent="0.25">
      <c r="A9" t="str">
        <v>VIVO 2356 ES01</v>
      </c>
      <c r="B9">
        <v>8</v>
      </c>
      <c r="D9" s="1" t="s">
        <v>40</v>
      </c>
      <c r="E9" s="1" t="s">
        <v>40</v>
      </c>
      <c r="F9" s="1"/>
      <c r="G9" s="1"/>
      <c r="H9" s="1"/>
      <c r="I9" s="1"/>
      <c r="J9" s="1"/>
      <c r="K9" s="1"/>
      <c r="L9" s="1"/>
      <c r="M9" s="1"/>
    </row>
    <row r="10" spans="1:13" x14ac:dyDescent="0.25">
      <c r="A10" t="str">
        <v>VIVO 1211 ES01</v>
      </c>
      <c r="B10">
        <v>10</v>
      </c>
      <c r="D10" s="1" t="s">
        <v>41</v>
      </c>
      <c r="E10" s="1" t="s">
        <v>42</v>
      </c>
      <c r="F10" t="s">
        <v>43</v>
      </c>
      <c r="G10" s="3"/>
      <c r="H10" s="2"/>
      <c r="I10" s="2"/>
      <c r="J10" s="1"/>
      <c r="K10" s="4"/>
      <c r="L10" s="2"/>
      <c r="M10" s="5"/>
    </row>
    <row r="11" spans="1:13" x14ac:dyDescent="0.25">
      <c r="A11" t="str">
        <v>VIVO 7129 ES02</v>
      </c>
      <c r="B11">
        <v>17</v>
      </c>
      <c r="D11" s="1" t="s">
        <v>44</v>
      </c>
      <c r="E11" s="1" t="s">
        <v>45</v>
      </c>
      <c r="F11" s="1" t="s">
        <v>46</v>
      </c>
      <c r="G11" s="1" t="s">
        <v>47</v>
      </c>
      <c r="H11" s="1" t="s">
        <v>48</v>
      </c>
      <c r="I11" s="1"/>
      <c r="J11" s="1"/>
      <c r="K11" s="1"/>
      <c r="L11" s="1"/>
      <c r="M11" s="1"/>
    </row>
    <row r="12" spans="1:13" x14ac:dyDescent="0.25">
      <c r="A12" t="str">
        <v>VIVO 1895 ES05</v>
      </c>
      <c r="B12">
        <v>17</v>
      </c>
      <c r="D12" s="1" t="s">
        <v>49</v>
      </c>
      <c r="E12" s="1" t="s">
        <v>50</v>
      </c>
      <c r="F12" s="1" t="s">
        <v>51</v>
      </c>
      <c r="G12" s="1" t="s">
        <v>52</v>
      </c>
      <c r="H12" s="1"/>
      <c r="I12" s="1"/>
      <c r="J12" s="1"/>
      <c r="K12" s="1"/>
      <c r="L12" s="1"/>
      <c r="M12" s="1"/>
    </row>
    <row r="13" spans="1:13" x14ac:dyDescent="0.25">
      <c r="A13" t="str">
        <v>VIVO 3811 ES03</v>
      </c>
      <c r="B13">
        <v>17</v>
      </c>
      <c r="D13" s="1" t="s">
        <v>53</v>
      </c>
      <c r="E13" s="1" t="s">
        <v>54</v>
      </c>
      <c r="F13" s="1" t="s">
        <v>55</v>
      </c>
      <c r="G13" s="1"/>
      <c r="H13" s="1"/>
      <c r="I13" s="1"/>
      <c r="J13" s="1"/>
      <c r="K13" s="1"/>
      <c r="L13" s="1"/>
      <c r="M13" s="1"/>
    </row>
    <row r="14" spans="1:13" x14ac:dyDescent="0.25">
      <c r="A14" t="str" cm="1">
        <f t="array" ref="A14:A22">TRANSPOSE(E5:M5)</f>
        <v>DDN ESAB</v>
      </c>
      <c r="B14">
        <v>15</v>
      </c>
      <c r="D14" s="1" t="s">
        <v>56</v>
      </c>
      <c r="E14" s="1" t="s">
        <v>56</v>
      </c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t="str">
        <v>DDN CR01</v>
      </c>
      <c r="B15">
        <v>15</v>
      </c>
      <c r="D15" s="1" t="s">
        <v>57</v>
      </c>
      <c r="E15" s="1" t="s">
        <v>57</v>
      </c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t="str">
        <v>VPE ESAB</v>
      </c>
      <c r="B16">
        <v>24</v>
      </c>
      <c r="G16" s="1"/>
      <c r="H16" s="1"/>
      <c r="I16" s="1"/>
      <c r="J16" s="1"/>
      <c r="K16" s="1"/>
      <c r="L16" s="1"/>
      <c r="M16" s="1"/>
    </row>
    <row r="17" spans="1:8" x14ac:dyDescent="0.25">
      <c r="A17" t="str">
        <v>VPE CR01</v>
      </c>
      <c r="B17">
        <v>15</v>
      </c>
    </row>
    <row r="18" spans="1:8" x14ac:dyDescent="0.25">
      <c r="A18" t="str">
        <v>INN ESAB</v>
      </c>
      <c r="B18">
        <v>25</v>
      </c>
    </row>
    <row r="19" spans="1:8" x14ac:dyDescent="0.25">
      <c r="A19" t="str">
        <v>INN CR01</v>
      </c>
      <c r="B19">
        <v>25</v>
      </c>
      <c r="E19" t="s">
        <v>58</v>
      </c>
      <c r="F19" t="s">
        <v>59</v>
      </c>
      <c r="H19" t="s">
        <v>60</v>
      </c>
    </row>
    <row r="20" spans="1:8" x14ac:dyDescent="0.25">
      <c r="A20" t="str">
        <v>BSP ESAB</v>
      </c>
      <c r="B20">
        <v>25</v>
      </c>
      <c r="F20">
        <v>12807456</v>
      </c>
      <c r="H20" t="s">
        <v>61</v>
      </c>
    </row>
    <row r="21" spans="1:8" x14ac:dyDescent="0.25">
      <c r="A21" t="str">
        <v>DDN ES03</v>
      </c>
      <c r="B21">
        <v>15</v>
      </c>
      <c r="F21">
        <v>7200</v>
      </c>
      <c r="H21" t="s">
        <v>62</v>
      </c>
    </row>
    <row r="22" spans="1:8" x14ac:dyDescent="0.25">
      <c r="A22" t="str">
        <v>INN ESAB ES05</v>
      </c>
      <c r="B22">
        <v>25</v>
      </c>
      <c r="H22" t="s">
        <v>63</v>
      </c>
    </row>
    <row r="23" spans="1:8" x14ac:dyDescent="0.25">
      <c r="A23" t="s">
        <v>35</v>
      </c>
      <c r="B23">
        <v>25</v>
      </c>
      <c r="H23" t="s">
        <v>64</v>
      </c>
    </row>
    <row r="24" spans="1:8" x14ac:dyDescent="0.25">
      <c r="A24" t="str" cm="1">
        <f t="array" ref="A24:A25">TRANSPOSE(E8:F8)</f>
        <v>Manutençao Central Telefonica -  SP</v>
      </c>
      <c r="B24">
        <v>90</v>
      </c>
      <c r="H24" t="s">
        <v>65</v>
      </c>
    </row>
    <row r="25" spans="1:8" x14ac:dyDescent="0.25">
      <c r="A25" t="str">
        <v>Locação de Central Telefonica - Matriz e Filiais</v>
      </c>
      <c r="B25">
        <v>90</v>
      </c>
      <c r="H25" t="s">
        <v>66</v>
      </c>
    </row>
    <row r="26" spans="1:8" x14ac:dyDescent="0.25">
      <c r="A26" t="str" cm="1">
        <f t="array" ref="A26">TRANSPOSE(E9)</f>
        <v>TMS</v>
      </c>
      <c r="B26">
        <v>30</v>
      </c>
      <c r="H26" t="s">
        <v>67</v>
      </c>
    </row>
    <row r="27" spans="1:8" x14ac:dyDescent="0.25">
      <c r="A27" t="str" cm="1">
        <f t="array" ref="A27:A28">TRANSPOSE(E10:F10)</f>
        <v>Link MPLS AT&amp;T AVPN</v>
      </c>
      <c r="B27">
        <v>30</v>
      </c>
      <c r="H27" t="s">
        <v>68</v>
      </c>
    </row>
    <row r="28" spans="1:8" x14ac:dyDescent="0.25">
      <c r="A28" t="str">
        <v>Link NetBond AT&amp;T With Azure</v>
      </c>
      <c r="B28">
        <v>30</v>
      </c>
      <c r="H28" t="s">
        <v>69</v>
      </c>
    </row>
    <row r="29" spans="1:8" x14ac:dyDescent="0.25">
      <c r="A29" t="str" cm="1">
        <f t="array" ref="A29:A32">TRANSPOSE(E11:H11)</f>
        <v>Telefonia Matriz 7090 ES01</v>
      </c>
      <c r="H29" t="s">
        <v>70</v>
      </c>
    </row>
    <row r="30" spans="1:8" x14ac:dyDescent="0.25">
      <c r="A30" t="str">
        <v>Telefonia Site II 9812 ES07</v>
      </c>
      <c r="H30" t="s">
        <v>71</v>
      </c>
    </row>
    <row r="31" spans="1:8" x14ac:dyDescent="0.25">
      <c r="A31" t="str">
        <v>Internet Matriz e SP 1105 ES01</v>
      </c>
    </row>
    <row r="32" spans="1:8" x14ac:dyDescent="0.25">
      <c r="A32" t="str">
        <v>Internet Unidade II 1323 ES07</v>
      </c>
    </row>
    <row r="33" spans="1:10" x14ac:dyDescent="0.25">
      <c r="A33" t="str" cm="1">
        <f t="array" ref="A33:A35">TRANSPOSE(E12:G12)</f>
        <v>Internet Unidade Salvador 0990 ES05</v>
      </c>
      <c r="D33" s="1" t="s">
        <v>72</v>
      </c>
      <c r="E33" s="1" t="s">
        <v>72</v>
      </c>
      <c r="F33" s="1"/>
      <c r="G33" s="1"/>
      <c r="H33" s="1"/>
      <c r="I33" s="1"/>
      <c r="J33" s="1"/>
    </row>
    <row r="34" spans="1:10" x14ac:dyDescent="0.25">
      <c r="A34" t="str">
        <v>LAN TO LAN Site II  8782 ES07</v>
      </c>
      <c r="D34" s="1" t="s">
        <v>73</v>
      </c>
      <c r="E34" s="1" t="s">
        <v>74</v>
      </c>
      <c r="F34" s="1" t="s">
        <v>75</v>
      </c>
      <c r="G34" s="1"/>
      <c r="H34" s="1"/>
      <c r="I34" s="1"/>
      <c r="J34" s="1"/>
    </row>
    <row r="35" spans="1:10" x14ac:dyDescent="0.25">
      <c r="A35" t="str">
        <v>LAN TO LAN Condor 8863 CR01</v>
      </c>
      <c r="D35" s="1" t="s">
        <v>76</v>
      </c>
      <c r="E35" s="1" t="s">
        <v>77</v>
      </c>
      <c r="F35" s="1" t="s">
        <v>78</v>
      </c>
      <c r="G35" s="1" t="s">
        <v>79</v>
      </c>
      <c r="H35" s="1" t="s">
        <v>80</v>
      </c>
      <c r="I35" s="1" t="s">
        <v>81</v>
      </c>
      <c r="J35" s="1" t="s">
        <v>82</v>
      </c>
    </row>
    <row r="36" spans="1:10" x14ac:dyDescent="0.25">
      <c r="A36" t="str" cm="1">
        <f t="array" ref="A36:A37">TRANSPOSE(E13:F13)</f>
        <v>POA 3774</v>
      </c>
      <c r="D36" s="1" t="s">
        <v>83</v>
      </c>
      <c r="E36" s="1" t="s">
        <v>83</v>
      </c>
      <c r="F36" s="1"/>
      <c r="G36" s="1"/>
      <c r="H36" s="1"/>
      <c r="I36" s="1"/>
      <c r="J36" s="1"/>
    </row>
    <row r="37" spans="1:10" x14ac:dyDescent="0.25">
      <c r="A37" t="str">
        <v>POA 3871</v>
      </c>
    </row>
    <row r="38" spans="1:10" x14ac:dyDescent="0.25">
      <c r="A38" s="1" t="s">
        <v>56</v>
      </c>
    </row>
    <row r="39" spans="1:10" x14ac:dyDescent="0.25">
      <c r="A39" s="1" t="s">
        <v>57</v>
      </c>
    </row>
  </sheetData>
  <phoneticPr fontId="1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E3C7-CEE7-4F7D-9C47-045EA245B006}">
  <sheetPr codeName="Planilha3"/>
  <dimension ref="A1:AB37"/>
  <sheetViews>
    <sheetView showGridLines="0" zoomScale="85" zoomScaleNormal="85" workbookViewId="0">
      <selection activeCell="E15" sqref="E15"/>
    </sheetView>
  </sheetViews>
  <sheetFormatPr defaultRowHeight="15" x14ac:dyDescent="0.25"/>
  <cols>
    <col min="2" max="2" width="13.7109375" customWidth="1"/>
    <col min="5" max="5" width="11.7109375" bestFit="1" customWidth="1"/>
    <col min="8" max="8" width="11.7109375" bestFit="1" customWidth="1"/>
    <col min="10" max="10" width="7.85546875" customWidth="1"/>
    <col min="22" max="22" width="11.28515625" bestFit="1" customWidth="1"/>
  </cols>
  <sheetData>
    <row r="1" spans="1:28" ht="16.5" thickTop="1" thickBot="1" x14ac:dyDescent="0.3">
      <c r="A1" s="23"/>
      <c r="B1" s="24"/>
      <c r="C1" s="24"/>
      <c r="D1" s="24"/>
      <c r="E1" s="24"/>
      <c r="F1" s="24"/>
      <c r="G1" s="24"/>
      <c r="H1" s="24"/>
      <c r="I1" s="24"/>
      <c r="J1" s="25"/>
      <c r="K1" s="370"/>
      <c r="L1" s="370"/>
      <c r="M1" s="370"/>
      <c r="N1" s="370"/>
      <c r="O1" s="370"/>
      <c r="P1" s="23"/>
      <c r="Q1" s="24"/>
      <c r="R1" s="24"/>
      <c r="S1" s="24"/>
      <c r="T1" s="24"/>
      <c r="U1" s="24"/>
      <c r="V1" s="279"/>
      <c r="W1" s="24"/>
      <c r="X1" s="24"/>
      <c r="Y1" s="24"/>
      <c r="Z1" s="24"/>
      <c r="AA1" s="24"/>
      <c r="AB1" s="25"/>
    </row>
    <row r="2" spans="1:28" x14ac:dyDescent="0.25">
      <c r="A2" s="26"/>
      <c r="B2" s="8"/>
      <c r="C2" s="9"/>
      <c r="D2" s="9"/>
      <c r="E2" s="9"/>
      <c r="F2" s="9"/>
      <c r="G2" s="9"/>
      <c r="H2" s="10"/>
      <c r="I2" s="6"/>
      <c r="J2" s="7"/>
      <c r="K2" s="370"/>
      <c r="L2" s="370"/>
      <c r="M2" s="370"/>
      <c r="N2" s="370"/>
      <c r="O2" s="370"/>
      <c r="P2" s="26"/>
      <c r="Q2" s="8"/>
      <c r="R2" s="9"/>
      <c r="S2" s="9"/>
      <c r="T2" s="9"/>
      <c r="U2" s="9"/>
      <c r="V2" s="9"/>
      <c r="W2" s="9"/>
      <c r="X2" s="9"/>
      <c r="Y2" s="9"/>
      <c r="Z2" s="9"/>
      <c r="AA2" s="10"/>
      <c r="AB2" s="7"/>
    </row>
    <row r="3" spans="1:28" x14ac:dyDescent="0.25">
      <c r="A3" s="26"/>
      <c r="B3" s="20" t="s">
        <v>0</v>
      </c>
      <c r="C3" s="21"/>
      <c r="D3" s="6"/>
      <c r="E3" s="6"/>
      <c r="F3" s="6"/>
      <c r="G3" s="6"/>
      <c r="H3" s="11"/>
      <c r="I3" s="6"/>
      <c r="J3" s="7"/>
      <c r="K3" s="370"/>
      <c r="L3" s="370"/>
      <c r="M3" s="370"/>
      <c r="N3" s="370"/>
      <c r="O3" s="370"/>
      <c r="P3" s="26"/>
      <c r="Q3" s="12"/>
      <c r="R3" s="281" t="s">
        <v>1</v>
      </c>
      <c r="S3" s="21"/>
      <c r="T3" s="6"/>
      <c r="U3" s="6"/>
      <c r="V3" s="6"/>
      <c r="W3" s="6"/>
      <c r="X3" s="6"/>
      <c r="Y3" s="6"/>
      <c r="Z3" s="6"/>
      <c r="AA3" s="11"/>
      <c r="AB3" s="7"/>
    </row>
    <row r="4" spans="1:28" x14ac:dyDescent="0.25">
      <c r="A4" s="26"/>
      <c r="B4" s="12"/>
      <c r="C4" s="6"/>
      <c r="D4" s="6"/>
      <c r="E4" s="6"/>
      <c r="F4" s="6"/>
      <c r="G4" s="6"/>
      <c r="H4" s="11"/>
      <c r="I4" s="6"/>
      <c r="J4" s="7"/>
      <c r="K4" s="370"/>
      <c r="L4" s="370"/>
      <c r="M4" s="370"/>
      <c r="N4" s="370"/>
      <c r="O4" s="370"/>
      <c r="P4" s="26"/>
      <c r="Q4" s="12"/>
      <c r="R4" s="6"/>
      <c r="S4" s="6"/>
      <c r="T4" s="6"/>
      <c r="U4" s="6"/>
      <c r="V4" s="6"/>
      <c r="W4" s="6"/>
      <c r="X4" s="6"/>
      <c r="Y4" s="6"/>
      <c r="Z4" s="6"/>
      <c r="AA4" s="11"/>
      <c r="AB4" s="7"/>
    </row>
    <row r="5" spans="1:28" x14ac:dyDescent="0.25">
      <c r="A5" s="26"/>
      <c r="B5" s="12"/>
      <c r="C5" s="6"/>
      <c r="D5" s="6"/>
      <c r="E5" s="6"/>
      <c r="F5" s="6"/>
      <c r="G5" s="6"/>
      <c r="H5" s="11"/>
      <c r="I5" s="6"/>
      <c r="J5" s="7"/>
      <c r="K5" s="370"/>
      <c r="L5" s="370"/>
      <c r="M5" s="370"/>
      <c r="N5" s="370"/>
      <c r="O5" s="370"/>
      <c r="P5" s="26"/>
      <c r="Q5" s="12"/>
      <c r="R5" s="280" t="s">
        <v>2</v>
      </c>
      <c r="S5" s="21"/>
      <c r="T5" s="6"/>
      <c r="U5" s="6"/>
      <c r="V5" s="6"/>
      <c r="W5" s="6"/>
      <c r="X5" s="6"/>
      <c r="Y5" s="6"/>
      <c r="Z5" s="6"/>
      <c r="AA5" s="11"/>
      <c r="AB5" s="7"/>
    </row>
    <row r="6" spans="1:28" ht="15.75" thickBot="1" x14ac:dyDescent="0.3">
      <c r="A6" s="26"/>
      <c r="B6" s="22" t="s">
        <v>2</v>
      </c>
      <c r="C6" s="21"/>
      <c r="D6" s="6"/>
      <c r="E6" s="6"/>
      <c r="F6" s="6"/>
      <c r="G6" s="6"/>
      <c r="H6" s="11"/>
      <c r="I6" s="6"/>
      <c r="J6" s="7"/>
      <c r="K6" s="370"/>
      <c r="L6" s="370"/>
      <c r="M6" s="370"/>
      <c r="N6" s="370"/>
      <c r="O6" s="370"/>
      <c r="P6" s="26"/>
      <c r="Q6" s="13"/>
      <c r="R6" s="14"/>
      <c r="S6" s="14"/>
      <c r="T6" s="14"/>
      <c r="U6" s="14"/>
      <c r="V6" s="14"/>
      <c r="W6" s="14"/>
      <c r="X6" s="14"/>
      <c r="Y6" s="14"/>
      <c r="Z6" s="14"/>
      <c r="AA6" s="15"/>
      <c r="AB6" s="7"/>
    </row>
    <row r="7" spans="1:28" ht="15.75" thickBot="1" x14ac:dyDescent="0.3">
      <c r="A7" s="26"/>
      <c r="B7" s="13"/>
      <c r="C7" s="14"/>
      <c r="D7" s="14"/>
      <c r="E7" s="14"/>
      <c r="F7" s="14"/>
      <c r="G7" s="14"/>
      <c r="H7" s="15"/>
      <c r="I7" s="6"/>
      <c r="J7" s="7"/>
      <c r="K7" s="370"/>
      <c r="L7" s="370"/>
      <c r="M7" s="370"/>
      <c r="N7" s="370"/>
      <c r="O7" s="370"/>
      <c r="P7" s="2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7"/>
    </row>
    <row r="8" spans="1:28" ht="15.75" thickBot="1" x14ac:dyDescent="0.3">
      <c r="A8" s="26"/>
      <c r="B8" s="6"/>
      <c r="C8" s="6"/>
      <c r="D8" s="6"/>
      <c r="E8" s="6"/>
      <c r="F8" s="6"/>
      <c r="G8" s="6"/>
      <c r="H8" s="6"/>
      <c r="I8" s="6"/>
      <c r="J8" s="7"/>
      <c r="K8" s="370"/>
      <c r="L8" s="370"/>
      <c r="M8" s="370"/>
      <c r="N8" s="370"/>
      <c r="O8" s="370"/>
      <c r="P8" s="2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7"/>
    </row>
    <row r="9" spans="1:28" ht="15" customHeight="1" x14ac:dyDescent="0.25">
      <c r="A9" s="26"/>
      <c r="B9" s="6"/>
      <c r="C9" s="6"/>
      <c r="D9" s="8"/>
      <c r="E9" s="9"/>
      <c r="F9" s="10"/>
      <c r="G9" s="6"/>
      <c r="H9" s="6"/>
      <c r="I9" s="6"/>
      <c r="J9" s="7"/>
      <c r="K9" s="370"/>
      <c r="L9" s="370"/>
      <c r="M9" s="370"/>
      <c r="N9" s="370"/>
      <c r="O9" s="370"/>
      <c r="P9" s="26"/>
      <c r="Q9" s="6"/>
      <c r="R9" s="8"/>
      <c r="S9" s="9"/>
      <c r="T9" s="9"/>
      <c r="U9" s="9"/>
      <c r="V9" s="9"/>
      <c r="W9" s="9"/>
      <c r="X9" s="9"/>
      <c r="Y9" s="9"/>
      <c r="Z9" s="10"/>
      <c r="AA9" s="6"/>
      <c r="AB9" s="7"/>
    </row>
    <row r="10" spans="1:28" ht="15" customHeight="1" x14ac:dyDescent="0.25">
      <c r="A10" s="26"/>
      <c r="B10" s="6"/>
      <c r="C10" s="6"/>
      <c r="D10" s="12"/>
      <c r="E10" s="6"/>
      <c r="F10" s="11"/>
      <c r="G10" s="6"/>
      <c r="H10" s="6"/>
      <c r="I10" s="6"/>
      <c r="J10" s="7"/>
      <c r="K10" s="370"/>
      <c r="L10" s="370"/>
      <c r="M10" s="370"/>
      <c r="N10" s="370"/>
      <c r="O10" s="370"/>
      <c r="P10" s="26"/>
      <c r="Q10" s="6"/>
      <c r="R10" s="12"/>
      <c r="S10" s="6"/>
      <c r="T10" s="6"/>
      <c r="U10" s="6"/>
      <c r="V10" s="6"/>
      <c r="W10" s="6"/>
      <c r="X10" s="6"/>
      <c r="Y10" s="6"/>
      <c r="Z10" s="11"/>
      <c r="AA10" s="6"/>
      <c r="AB10" s="7"/>
    </row>
    <row r="11" spans="1:28" x14ac:dyDescent="0.25">
      <c r="A11" s="26"/>
      <c r="B11" s="6"/>
      <c r="C11" s="6"/>
      <c r="D11" s="16"/>
      <c r="E11" s="6"/>
      <c r="F11" s="11"/>
      <c r="G11" s="6"/>
      <c r="H11" s="6"/>
      <c r="I11" s="6"/>
      <c r="J11" s="7"/>
      <c r="K11" s="370"/>
      <c r="L11" s="370"/>
      <c r="M11" s="370"/>
      <c r="N11" s="370"/>
      <c r="O11" s="370"/>
      <c r="P11" s="26"/>
      <c r="Q11" s="6"/>
      <c r="R11" s="12"/>
      <c r="S11" s="6"/>
      <c r="T11" s="6"/>
      <c r="U11" s="6"/>
      <c r="V11" s="6"/>
      <c r="W11" s="6"/>
      <c r="X11" s="6"/>
      <c r="Y11" s="6"/>
      <c r="Z11" s="11"/>
      <c r="AA11" s="6"/>
      <c r="AB11" s="7"/>
    </row>
    <row r="12" spans="1:28" x14ac:dyDescent="0.25">
      <c r="A12" s="26"/>
      <c r="B12" s="6"/>
      <c r="C12" s="6"/>
      <c r="D12" s="16"/>
      <c r="E12" s="6"/>
      <c r="F12" s="11"/>
      <c r="G12" s="6"/>
      <c r="H12" s="6"/>
      <c r="I12" s="6"/>
      <c r="J12" s="7"/>
      <c r="K12" s="370"/>
      <c r="L12" s="370"/>
      <c r="M12" s="370"/>
      <c r="N12" s="370"/>
      <c r="O12" s="370"/>
      <c r="P12" s="26"/>
      <c r="Q12" s="6"/>
      <c r="R12" s="12"/>
      <c r="S12" s="6"/>
      <c r="T12" s="6"/>
      <c r="U12" s="6"/>
      <c r="V12" s="6"/>
      <c r="W12" s="6"/>
      <c r="X12" s="6"/>
      <c r="Y12" s="6"/>
      <c r="Z12" s="11"/>
      <c r="AA12" s="6"/>
      <c r="AB12" s="7"/>
    </row>
    <row r="13" spans="1:28" ht="15" customHeight="1" x14ac:dyDescent="0.25">
      <c r="A13" s="26"/>
      <c r="B13" s="6"/>
      <c r="C13" s="6"/>
      <c r="D13" s="16"/>
      <c r="E13" s="6"/>
      <c r="F13" s="11"/>
      <c r="G13" s="6"/>
      <c r="H13" s="6"/>
      <c r="I13" s="6"/>
      <c r="J13" s="7"/>
      <c r="K13" s="370"/>
      <c r="L13" s="370"/>
      <c r="M13" s="370"/>
      <c r="N13" s="370"/>
      <c r="O13" s="370"/>
      <c r="P13" s="26"/>
      <c r="Q13" s="6"/>
      <c r="R13" s="12"/>
      <c r="S13" s="6"/>
      <c r="T13" s="6"/>
      <c r="U13" s="6"/>
      <c r="V13" s="6"/>
      <c r="W13" s="6"/>
      <c r="X13" s="6"/>
      <c r="Y13" s="6"/>
      <c r="Z13" s="11"/>
      <c r="AA13" s="6"/>
      <c r="AB13" s="7"/>
    </row>
    <row r="14" spans="1:28" ht="34.5" x14ac:dyDescent="0.55000000000000004">
      <c r="A14" s="26"/>
      <c r="B14" s="6"/>
      <c r="C14" s="6"/>
      <c r="D14" s="571" t="s">
        <v>3</v>
      </c>
      <c r="E14" s="572"/>
      <c r="F14" s="573"/>
      <c r="G14" s="6"/>
      <c r="H14" s="6"/>
      <c r="I14" s="6"/>
      <c r="J14" s="7"/>
      <c r="K14" s="580" t="s">
        <v>84</v>
      </c>
      <c r="L14" s="581"/>
      <c r="M14" s="581"/>
      <c r="N14" s="581"/>
      <c r="O14" s="582"/>
      <c r="P14" s="26"/>
      <c r="Q14" s="6"/>
      <c r="R14" s="562" t="s">
        <v>6</v>
      </c>
      <c r="S14" s="563"/>
      <c r="T14" s="563"/>
      <c r="U14" s="563"/>
      <c r="V14" s="563"/>
      <c r="W14" s="563"/>
      <c r="X14" s="563"/>
      <c r="Y14" s="563"/>
      <c r="Z14" s="564"/>
      <c r="AA14" s="6"/>
      <c r="AB14" s="7"/>
    </row>
    <row r="15" spans="1:28" x14ac:dyDescent="0.25">
      <c r="A15" s="26"/>
      <c r="B15" s="6"/>
      <c r="C15" s="6"/>
      <c r="D15" s="19" t="s">
        <v>4</v>
      </c>
      <c r="E15" s="274">
        <v>11809.67</v>
      </c>
      <c r="F15" s="17"/>
      <c r="G15" s="6"/>
      <c r="H15" s="6"/>
      <c r="I15" s="6"/>
      <c r="J15" s="7"/>
      <c r="K15" s="370"/>
      <c r="L15" s="370"/>
      <c r="M15" s="370"/>
      <c r="N15" s="370"/>
      <c r="O15" s="370"/>
      <c r="P15" s="26"/>
      <c r="Q15" s="6"/>
      <c r="R15" s="12"/>
      <c r="S15" s="21"/>
      <c r="T15" s="21"/>
      <c r="U15" s="282" t="s">
        <v>7</v>
      </c>
      <c r="V15" s="278">
        <v>4500751315</v>
      </c>
      <c r="W15" s="283" t="s">
        <v>8</v>
      </c>
      <c r="X15" s="21"/>
      <c r="Y15" s="21"/>
      <c r="Z15" s="11"/>
      <c r="AA15" s="6"/>
      <c r="AB15" s="7"/>
    </row>
    <row r="16" spans="1:28" x14ac:dyDescent="0.25">
      <c r="A16" s="26"/>
      <c r="B16" s="6"/>
      <c r="C16" s="6"/>
      <c r="D16" s="571"/>
      <c r="E16" s="572"/>
      <c r="F16" s="573"/>
      <c r="G16" s="6"/>
      <c r="H16" s="6"/>
      <c r="I16" s="6"/>
      <c r="J16" s="7"/>
      <c r="K16" s="370"/>
      <c r="L16" s="370"/>
      <c r="M16" s="370"/>
      <c r="N16" s="370"/>
      <c r="O16" s="370"/>
      <c r="P16" s="26"/>
      <c r="Q16" s="6"/>
      <c r="R16" s="12"/>
      <c r="S16" s="6"/>
      <c r="T16" s="6"/>
      <c r="U16" s="6"/>
      <c r="V16" s="6"/>
      <c r="W16" s="6"/>
      <c r="X16" s="6"/>
      <c r="Y16" s="6"/>
      <c r="Z16" s="11"/>
      <c r="AA16" s="6"/>
      <c r="AB16" s="7"/>
    </row>
    <row r="17" spans="1:28" x14ac:dyDescent="0.25">
      <c r="A17" s="26"/>
      <c r="B17" s="6"/>
      <c r="C17" s="6"/>
      <c r="D17" s="571"/>
      <c r="E17" s="572"/>
      <c r="F17" s="573"/>
      <c r="G17" s="6"/>
      <c r="H17" s="6"/>
      <c r="I17" s="6"/>
      <c r="J17" s="7"/>
      <c r="K17" s="370"/>
      <c r="L17" s="370"/>
      <c r="M17" s="370"/>
      <c r="N17" s="370"/>
      <c r="O17" s="370"/>
      <c r="P17" s="26"/>
      <c r="Q17" s="6"/>
      <c r="R17" s="12"/>
      <c r="S17" s="6"/>
      <c r="T17" s="6"/>
      <c r="U17" s="6"/>
      <c r="V17" s="6"/>
      <c r="W17" s="6"/>
      <c r="X17" s="6"/>
      <c r="Y17" s="6"/>
      <c r="Z17" s="11"/>
      <c r="AA17" s="6"/>
      <c r="AB17" s="7"/>
    </row>
    <row r="18" spans="1:28" x14ac:dyDescent="0.25">
      <c r="A18" s="26"/>
      <c r="B18" s="6"/>
      <c r="C18" s="6"/>
      <c r="D18" s="12"/>
      <c r="E18" s="6"/>
      <c r="F18" s="11"/>
      <c r="G18" s="6"/>
      <c r="H18" s="6"/>
      <c r="I18" s="6"/>
      <c r="J18" s="7"/>
      <c r="K18" s="370"/>
      <c r="L18" s="370"/>
      <c r="M18" s="370"/>
      <c r="N18" s="370"/>
      <c r="O18" s="370"/>
      <c r="P18" s="26"/>
      <c r="Q18" s="6"/>
      <c r="R18" s="12"/>
      <c r="S18" s="6"/>
      <c r="T18" s="6"/>
      <c r="U18" s="6"/>
      <c r="V18" s="6"/>
      <c r="W18" s="6"/>
      <c r="X18" s="6"/>
      <c r="Y18" s="6"/>
      <c r="Z18" s="11"/>
      <c r="AA18" s="6"/>
      <c r="AB18" s="7"/>
    </row>
    <row r="19" spans="1:28" x14ac:dyDescent="0.25">
      <c r="A19" s="26"/>
      <c r="B19" s="6"/>
      <c r="C19" s="6"/>
      <c r="D19" s="12"/>
      <c r="E19" s="6"/>
      <c r="F19" s="11"/>
      <c r="G19" s="6"/>
      <c r="H19" s="6"/>
      <c r="I19" s="6"/>
      <c r="J19" s="7"/>
      <c r="K19" s="370"/>
      <c r="L19" s="370"/>
      <c r="M19" s="370"/>
      <c r="N19" s="370"/>
      <c r="O19" s="370"/>
      <c r="P19" s="26"/>
      <c r="Q19" s="6"/>
      <c r="R19" s="12"/>
      <c r="S19" s="6"/>
      <c r="T19" s="6"/>
      <c r="U19" s="6"/>
      <c r="V19" s="6"/>
      <c r="W19" s="6"/>
      <c r="X19" s="6"/>
      <c r="Y19" s="6"/>
      <c r="Z19" s="11"/>
      <c r="AA19" s="6"/>
      <c r="AB19" s="7"/>
    </row>
    <row r="20" spans="1:28" ht="28.5" x14ac:dyDescent="0.45">
      <c r="A20" s="26"/>
      <c r="B20" s="6"/>
      <c r="C20" s="6"/>
      <c r="D20" s="12"/>
      <c r="E20" s="6"/>
      <c r="F20" s="11"/>
      <c r="G20" s="6"/>
      <c r="H20" s="6"/>
      <c r="I20" s="6"/>
      <c r="J20" s="7"/>
      <c r="K20" s="371" t="s">
        <v>10</v>
      </c>
      <c r="L20" s="371"/>
      <c r="M20" s="370"/>
      <c r="N20" s="370"/>
      <c r="O20" s="370"/>
      <c r="P20" s="26"/>
      <c r="Q20" s="6"/>
      <c r="R20" s="12"/>
      <c r="S20" s="6"/>
      <c r="T20" s="6"/>
      <c r="U20" s="6"/>
      <c r="V20" s="6"/>
      <c r="W20" s="6"/>
      <c r="X20" s="6"/>
      <c r="Y20" s="6"/>
      <c r="Z20" s="11"/>
      <c r="AA20" s="6"/>
      <c r="AB20" s="7"/>
    </row>
    <row r="21" spans="1:28" ht="26.25" x14ac:dyDescent="0.4">
      <c r="A21" s="26"/>
      <c r="B21" s="6"/>
      <c r="C21" s="6"/>
      <c r="D21" s="12"/>
      <c r="E21" s="6"/>
      <c r="F21" s="11"/>
      <c r="G21" s="6"/>
      <c r="H21" s="6"/>
      <c r="I21" s="6" t="s">
        <v>11</v>
      </c>
      <c r="J21" s="7"/>
      <c r="K21" s="583" t="s">
        <v>12</v>
      </c>
      <c r="L21" s="584"/>
      <c r="M21" s="584"/>
      <c r="N21" s="584"/>
      <c r="O21" s="585"/>
      <c r="P21" s="26"/>
      <c r="Q21" s="6"/>
      <c r="R21" s="562" t="s">
        <v>13</v>
      </c>
      <c r="S21" s="563"/>
      <c r="T21" s="563"/>
      <c r="U21" s="563"/>
      <c r="V21" s="563"/>
      <c r="W21" s="563"/>
      <c r="X21" s="563"/>
      <c r="Y21" s="563"/>
      <c r="Z21" s="564"/>
      <c r="AA21" s="6"/>
      <c r="AB21" s="7"/>
    </row>
    <row r="22" spans="1:28" x14ac:dyDescent="0.25">
      <c r="A22" s="26"/>
      <c r="B22" s="6"/>
      <c r="C22" s="6"/>
      <c r="D22" s="12"/>
      <c r="E22" s="6"/>
      <c r="F22" s="11"/>
      <c r="G22" s="6"/>
      <c r="H22" s="6"/>
      <c r="I22" s="6"/>
      <c r="J22" s="7"/>
      <c r="K22" s="372"/>
      <c r="L22" s="372"/>
      <c r="M22" s="372"/>
      <c r="N22" s="372"/>
      <c r="O22" s="372"/>
      <c r="P22" s="26"/>
      <c r="Q22" s="6"/>
      <c r="R22" s="12"/>
      <c r="S22" s="21"/>
      <c r="T22" s="21"/>
      <c r="U22" s="21"/>
      <c r="V22" s="278">
        <v>1000225837</v>
      </c>
      <c r="W22" s="21"/>
      <c r="X22" s="21"/>
      <c r="Y22" s="21"/>
      <c r="Z22" s="11"/>
      <c r="AA22" s="6"/>
      <c r="AB22" s="7"/>
    </row>
    <row r="23" spans="1:28" x14ac:dyDescent="0.25">
      <c r="A23" s="26"/>
      <c r="B23" s="6"/>
      <c r="C23" s="6"/>
      <c r="D23" s="12"/>
      <c r="E23" s="6"/>
      <c r="F23" s="11"/>
      <c r="G23" s="6"/>
      <c r="H23" s="6"/>
      <c r="I23" s="6"/>
      <c r="J23" s="7"/>
      <c r="K23" s="370"/>
      <c r="L23" s="370"/>
      <c r="M23" s="370"/>
      <c r="N23" s="370"/>
      <c r="O23" s="370"/>
      <c r="P23" s="26"/>
      <c r="Q23" s="6"/>
      <c r="R23" s="12"/>
      <c r="S23" s="6"/>
      <c r="T23" s="6"/>
      <c r="U23" s="6"/>
      <c r="V23" s="6"/>
      <c r="W23" s="6"/>
      <c r="X23" s="6"/>
      <c r="Y23" s="6"/>
      <c r="Z23" s="11"/>
      <c r="AA23" s="6"/>
      <c r="AB23" s="7"/>
    </row>
    <row r="24" spans="1:28" x14ac:dyDescent="0.25">
      <c r="A24" s="26"/>
      <c r="B24" s="6"/>
      <c r="C24" s="6"/>
      <c r="D24" s="571" t="s">
        <v>14</v>
      </c>
      <c r="E24" s="572"/>
      <c r="F24" s="573"/>
      <c r="G24" s="6"/>
      <c r="H24" s="6"/>
      <c r="I24" s="6"/>
      <c r="J24" s="7"/>
      <c r="K24" s="370"/>
      <c r="L24" s="370"/>
      <c r="M24" s="370"/>
      <c r="N24" s="370"/>
      <c r="O24" s="370"/>
      <c r="P24" s="26"/>
      <c r="Q24" s="6"/>
      <c r="R24" s="12"/>
      <c r="S24" s="6"/>
      <c r="T24" s="6"/>
      <c r="U24" s="6"/>
      <c r="V24" s="6"/>
      <c r="W24" s="6"/>
      <c r="X24" s="6"/>
      <c r="Y24" s="6"/>
      <c r="Z24" s="11"/>
      <c r="AA24" s="6"/>
      <c r="AB24" s="7"/>
    </row>
    <row r="25" spans="1:28" x14ac:dyDescent="0.25">
      <c r="A25" s="26"/>
      <c r="B25" s="6"/>
      <c r="C25" s="6"/>
      <c r="D25" s="18" t="s">
        <v>15</v>
      </c>
      <c r="E25" s="278">
        <v>12830852</v>
      </c>
      <c r="F25" s="17"/>
      <c r="G25" s="6"/>
      <c r="H25" s="6"/>
      <c r="I25" s="6"/>
      <c r="J25" s="7"/>
      <c r="K25" s="370"/>
      <c r="L25" s="370"/>
      <c r="M25" s="370"/>
      <c r="N25" s="370"/>
      <c r="O25" s="370"/>
      <c r="P25" s="26"/>
      <c r="Q25" s="6"/>
      <c r="R25" s="12"/>
      <c r="S25" s="6"/>
      <c r="T25" s="6"/>
      <c r="U25" s="6"/>
      <c r="V25" s="6"/>
      <c r="W25" s="6"/>
      <c r="X25" s="6"/>
      <c r="Y25" s="6"/>
      <c r="Z25" s="11"/>
      <c r="AA25" s="6"/>
      <c r="AB25" s="7"/>
    </row>
    <row r="26" spans="1:28" x14ac:dyDescent="0.25">
      <c r="A26" s="26"/>
      <c r="B26" s="6"/>
      <c r="C26" s="6"/>
      <c r="D26" s="12"/>
      <c r="E26" s="6"/>
      <c r="F26" s="11"/>
      <c r="G26" s="6"/>
      <c r="H26" s="6"/>
      <c r="I26" s="6"/>
      <c r="J26" s="7"/>
      <c r="K26" s="370"/>
      <c r="L26" s="370"/>
      <c r="M26" s="370"/>
      <c r="N26" s="370"/>
      <c r="O26" s="370"/>
      <c r="P26" s="26"/>
      <c r="Q26" s="6"/>
      <c r="R26" s="12"/>
      <c r="S26" s="6"/>
      <c r="T26" s="6"/>
      <c r="U26" s="6"/>
      <c r="V26" s="6"/>
      <c r="W26" s="6"/>
      <c r="X26" s="6"/>
      <c r="Y26" s="6"/>
      <c r="Z26" s="11"/>
      <c r="AA26" s="6"/>
      <c r="AB26" s="7"/>
    </row>
    <row r="27" spans="1:28" x14ac:dyDescent="0.25">
      <c r="A27" s="26"/>
      <c r="B27" s="6"/>
      <c r="C27" s="6"/>
      <c r="D27" s="12"/>
      <c r="E27" s="6"/>
      <c r="F27" s="11"/>
      <c r="G27" s="6"/>
      <c r="H27" s="6"/>
      <c r="I27" s="6"/>
      <c r="J27" s="7"/>
      <c r="K27" s="370"/>
      <c r="L27" s="370"/>
      <c r="M27" s="370"/>
      <c r="N27" s="370"/>
      <c r="O27" s="370"/>
      <c r="P27" s="26"/>
      <c r="Q27" s="6"/>
      <c r="R27" s="12"/>
      <c r="S27" s="6"/>
      <c r="T27" s="6"/>
      <c r="U27" s="6"/>
      <c r="V27" s="6"/>
      <c r="W27" s="6"/>
      <c r="X27" s="6"/>
      <c r="Y27" s="6"/>
      <c r="Z27" s="11"/>
      <c r="AA27" s="6"/>
      <c r="AB27" s="7"/>
    </row>
    <row r="28" spans="1:28" x14ac:dyDescent="0.25">
      <c r="A28" s="26"/>
      <c r="B28" s="6"/>
      <c r="C28" s="6"/>
      <c r="D28" s="12"/>
      <c r="E28" s="6"/>
      <c r="F28" s="11"/>
      <c r="G28" s="6"/>
      <c r="H28" s="6"/>
      <c r="I28" s="6"/>
      <c r="J28" s="7"/>
      <c r="K28" s="370"/>
      <c r="L28" s="370"/>
      <c r="M28" s="370"/>
      <c r="N28" s="370"/>
      <c r="O28" s="370"/>
      <c r="P28" s="26"/>
      <c r="Q28" s="6"/>
      <c r="R28" s="12"/>
      <c r="S28" s="6"/>
      <c r="T28" s="6"/>
      <c r="U28" s="6"/>
      <c r="V28" s="6"/>
      <c r="W28" s="6"/>
      <c r="X28" s="6"/>
      <c r="Y28" s="6"/>
      <c r="Z28" s="11"/>
      <c r="AA28" s="6"/>
      <c r="AB28" s="7"/>
    </row>
    <row r="29" spans="1:28" x14ac:dyDescent="0.25">
      <c r="A29" s="26"/>
      <c r="B29" s="6"/>
      <c r="C29" s="6"/>
      <c r="D29" s="12"/>
      <c r="E29" s="6"/>
      <c r="F29" s="11"/>
      <c r="G29" s="6"/>
      <c r="H29" s="6"/>
      <c r="I29" s="6"/>
      <c r="J29" s="7"/>
      <c r="K29" s="370"/>
      <c r="L29" s="370"/>
      <c r="M29" s="370"/>
      <c r="N29" s="370"/>
      <c r="O29" s="370"/>
      <c r="P29" s="26"/>
      <c r="Q29" s="6"/>
      <c r="R29" s="12"/>
      <c r="S29" s="6"/>
      <c r="T29" s="6"/>
      <c r="U29" s="6"/>
      <c r="V29" s="6"/>
      <c r="W29" s="6"/>
      <c r="X29" s="6"/>
      <c r="Y29" s="6"/>
      <c r="Z29" s="11"/>
      <c r="AA29" s="6"/>
      <c r="AB29" s="7"/>
    </row>
    <row r="30" spans="1:28" x14ac:dyDescent="0.25">
      <c r="A30" s="26"/>
      <c r="B30" s="6"/>
      <c r="C30" s="6"/>
      <c r="D30" s="12"/>
      <c r="E30" s="6"/>
      <c r="F30" s="11"/>
      <c r="G30" s="6"/>
      <c r="H30" s="6"/>
      <c r="I30" s="6"/>
      <c r="J30" s="7"/>
      <c r="K30" s="370"/>
      <c r="L30" s="370"/>
      <c r="M30" s="370"/>
      <c r="N30" s="370"/>
      <c r="O30" s="370"/>
      <c r="P30" s="26"/>
      <c r="Q30" s="6"/>
      <c r="R30" s="12"/>
      <c r="S30" s="6"/>
      <c r="T30" s="6"/>
      <c r="U30" s="6"/>
      <c r="V30" s="6"/>
      <c r="W30" s="6"/>
      <c r="X30" s="6"/>
      <c r="Y30" s="6"/>
      <c r="Z30" s="11"/>
      <c r="AA30" s="6"/>
      <c r="AB30" s="7"/>
    </row>
    <row r="31" spans="1:28" x14ac:dyDescent="0.25">
      <c r="A31" s="26"/>
      <c r="B31" s="6"/>
      <c r="C31" s="6"/>
      <c r="D31" s="12"/>
      <c r="E31" s="6"/>
      <c r="F31" s="11"/>
      <c r="G31" s="6"/>
      <c r="H31" s="6"/>
      <c r="I31" s="6"/>
      <c r="J31" s="7"/>
      <c r="K31" s="370"/>
      <c r="L31" s="370"/>
      <c r="M31" s="370"/>
      <c r="N31" s="370"/>
      <c r="O31" s="370"/>
      <c r="P31" s="26"/>
      <c r="Q31" s="6"/>
      <c r="R31" s="12"/>
      <c r="S31" s="6"/>
      <c r="T31" s="6"/>
      <c r="U31" s="6"/>
      <c r="V31" s="6"/>
      <c r="W31" s="6"/>
      <c r="X31" s="6"/>
      <c r="Y31" s="6"/>
      <c r="Z31" s="11"/>
      <c r="AA31" s="6"/>
      <c r="AB31" s="7"/>
    </row>
    <row r="32" spans="1:28" ht="15.75" thickBot="1" x14ac:dyDescent="0.3">
      <c r="A32" s="26"/>
      <c r="B32" s="6"/>
      <c r="C32" s="6"/>
      <c r="D32" s="12"/>
      <c r="E32" s="6"/>
      <c r="F32" s="11"/>
      <c r="G32" s="6"/>
      <c r="H32" s="6"/>
      <c r="I32" s="6"/>
      <c r="J32" s="7"/>
      <c r="K32" s="370"/>
      <c r="L32" s="370"/>
      <c r="M32" s="370"/>
      <c r="N32" s="370"/>
      <c r="O32" s="370"/>
      <c r="P32" s="26"/>
      <c r="Q32" s="6"/>
      <c r="R32" s="13"/>
      <c r="S32" s="14"/>
      <c r="T32" s="14"/>
      <c r="U32" s="14"/>
      <c r="V32" s="14"/>
      <c r="W32" s="14"/>
      <c r="X32" s="14"/>
      <c r="Y32" s="14"/>
      <c r="Z32" s="15"/>
      <c r="AA32" s="6"/>
      <c r="AB32" s="7"/>
    </row>
    <row r="33" spans="1:28" ht="15.75" thickBot="1" x14ac:dyDescent="0.3">
      <c r="A33" s="26"/>
      <c r="B33" s="6"/>
      <c r="C33" s="6"/>
      <c r="D33" s="13"/>
      <c r="E33" s="14"/>
      <c r="F33" s="15"/>
      <c r="G33" s="6"/>
      <c r="H33" s="6"/>
      <c r="I33" s="6"/>
      <c r="J33" s="7"/>
      <c r="K33" s="370"/>
      <c r="L33" s="370"/>
      <c r="M33" s="370"/>
      <c r="N33" s="370"/>
      <c r="O33" s="370"/>
      <c r="P33" s="2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7"/>
    </row>
    <row r="34" spans="1:28" x14ac:dyDescent="0.25">
      <c r="A34" s="26"/>
      <c r="B34" s="6"/>
      <c r="C34" s="6"/>
      <c r="D34" s="6"/>
      <c r="E34" s="6"/>
      <c r="F34" s="6"/>
      <c r="G34" s="6"/>
      <c r="H34" s="6"/>
      <c r="I34" s="6"/>
      <c r="J34" s="7"/>
      <c r="K34" s="370"/>
      <c r="L34" s="370"/>
      <c r="M34" s="370"/>
      <c r="N34" s="370"/>
      <c r="O34" s="370"/>
      <c r="P34" s="2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7"/>
    </row>
    <row r="35" spans="1:28" ht="31.5" x14ac:dyDescent="0.5">
      <c r="A35" s="574" t="s">
        <v>16</v>
      </c>
      <c r="B35" s="575"/>
      <c r="C35" s="575"/>
      <c r="D35" s="575"/>
      <c r="E35" s="575"/>
      <c r="F35" s="575"/>
      <c r="G35" s="575"/>
      <c r="H35" s="575"/>
      <c r="I35" s="575"/>
      <c r="J35" s="576"/>
      <c r="K35" s="370"/>
      <c r="L35" s="370"/>
      <c r="M35" s="370"/>
      <c r="N35" s="370"/>
      <c r="O35" s="370"/>
      <c r="P35" s="565" t="s">
        <v>17</v>
      </c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7"/>
    </row>
    <row r="36" spans="1:28" ht="32.25" thickBot="1" x14ac:dyDescent="0.55000000000000004">
      <c r="A36" s="577"/>
      <c r="B36" s="578"/>
      <c r="C36" s="578"/>
      <c r="D36" s="578"/>
      <c r="E36" s="578"/>
      <c r="F36" s="578"/>
      <c r="G36" s="578"/>
      <c r="H36" s="578"/>
      <c r="I36" s="578"/>
      <c r="J36" s="579"/>
      <c r="K36" s="370"/>
      <c r="L36" s="370"/>
      <c r="M36" s="370"/>
      <c r="N36" s="370"/>
      <c r="O36" s="370"/>
      <c r="P36" s="568"/>
      <c r="Q36" s="569"/>
      <c r="R36" s="569"/>
      <c r="S36" s="569"/>
      <c r="T36" s="569"/>
      <c r="U36" s="569"/>
      <c r="V36" s="569"/>
      <c r="W36" s="569"/>
      <c r="X36" s="569"/>
      <c r="Y36" s="569"/>
      <c r="Z36" s="569"/>
      <c r="AA36" s="569"/>
      <c r="AB36" s="570"/>
    </row>
    <row r="37" spans="1:28" ht="15.75" thickTop="1" x14ac:dyDescent="0.25"/>
  </sheetData>
  <mergeCells count="11">
    <mergeCell ref="R14:Z14"/>
    <mergeCell ref="D17:F17"/>
    <mergeCell ref="R21:Z21"/>
    <mergeCell ref="D24:F24"/>
    <mergeCell ref="A35:J35"/>
    <mergeCell ref="P35:AB36"/>
    <mergeCell ref="A36:J36"/>
    <mergeCell ref="D14:F14"/>
    <mergeCell ref="D16:F16"/>
    <mergeCell ref="K14:O14"/>
    <mergeCell ref="K21:O21"/>
  </mergeCell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2">
          <controlPr defaultSize="0" autoLine="0" r:id="rId5">
            <anchor moveWithCells="1">
              <from>
                <xdr:col>2</xdr:col>
                <xdr:colOff>295275</xdr:colOff>
                <xdr:row>4</xdr:row>
                <xdr:rowOff>19050</xdr:rowOff>
              </from>
              <to>
                <xdr:col>6</xdr:col>
                <xdr:colOff>304800</xdr:colOff>
                <xdr:row>6</xdr:row>
                <xdr:rowOff>38100</xdr:rowOff>
              </to>
            </anchor>
          </controlPr>
        </control>
      </mc:Choice>
      <mc:Fallback>
        <control shapeId="3074" r:id="rId4" name="ComboBox2"/>
      </mc:Fallback>
    </mc:AlternateContent>
    <mc:AlternateContent xmlns:mc="http://schemas.openxmlformats.org/markup-compatibility/2006">
      <mc:Choice Requires="x14">
        <control shapeId="3075" r:id="rId6" name="ComboBox1">
          <controlPr defaultSize="0" autoLine="0" r:id="rId7">
            <anchor moveWithCells="1">
              <from>
                <xdr:col>2</xdr:col>
                <xdr:colOff>104775</xdr:colOff>
                <xdr:row>1</xdr:row>
                <xdr:rowOff>142875</xdr:rowOff>
              </from>
              <to>
                <xdr:col>6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5" r:id="rId6" name="ComboBox1"/>
      </mc:Fallback>
    </mc:AlternateContent>
    <mc:AlternateContent xmlns:mc="http://schemas.openxmlformats.org/markup-compatibility/2006">
      <mc:Choice Requires="x14">
        <control shapeId="3076" r:id="rId8" name="ComboBoxMes">
          <controlPr defaultSize="0" autoLine="0" r:id="rId9">
            <anchor moveWithCells="1">
              <from>
                <xdr:col>3</xdr:col>
                <xdr:colOff>0</xdr:colOff>
                <xdr:row>8</xdr:row>
                <xdr:rowOff>9525</xdr:rowOff>
              </from>
              <to>
                <xdr:col>6</xdr:col>
                <xdr:colOff>0</xdr:colOff>
                <xdr:row>9</xdr:row>
                <xdr:rowOff>66675</xdr:rowOff>
              </to>
            </anchor>
          </controlPr>
        </control>
      </mc:Choice>
      <mc:Fallback>
        <control shapeId="3076" r:id="rId8" name="ComboBoxMes"/>
      </mc:Fallback>
    </mc:AlternateContent>
    <mc:AlternateContent xmlns:mc="http://schemas.openxmlformats.org/markup-compatibility/2006">
      <mc:Choice Requires="x14">
        <control shapeId="3078" r:id="rId10" name="ComboBox3">
          <controlPr defaultSize="0" autoLine="0" r:id="rId11">
            <anchor moveWithCells="1">
              <from>
                <xdr:col>18</xdr:col>
                <xdr:colOff>381000</xdr:colOff>
                <xdr:row>2</xdr:row>
                <xdr:rowOff>0</xdr:rowOff>
              </from>
              <to>
                <xdr:col>25</xdr:col>
                <xdr:colOff>438150</xdr:colOff>
                <xdr:row>3</xdr:row>
                <xdr:rowOff>85725</xdr:rowOff>
              </to>
            </anchor>
          </controlPr>
        </control>
      </mc:Choice>
      <mc:Fallback>
        <control shapeId="3078" r:id="rId10" name="ComboBox3"/>
      </mc:Fallback>
    </mc:AlternateContent>
    <mc:AlternateContent xmlns:mc="http://schemas.openxmlformats.org/markup-compatibility/2006">
      <mc:Choice Requires="x14">
        <control shapeId="3079" r:id="rId12" name="ComboBox4">
          <controlPr defaultSize="0" autoLine="0" r:id="rId13">
            <anchor moveWithCells="1">
              <from>
                <xdr:col>19</xdr:col>
                <xdr:colOff>19050</xdr:colOff>
                <xdr:row>3</xdr:row>
                <xdr:rowOff>161925</xdr:rowOff>
              </from>
              <to>
                <xdr:col>24</xdr:col>
                <xdr:colOff>590550</xdr:colOff>
                <xdr:row>5</xdr:row>
                <xdr:rowOff>57150</xdr:rowOff>
              </to>
            </anchor>
          </controlPr>
        </control>
      </mc:Choice>
      <mc:Fallback>
        <control shapeId="3079" r:id="rId12" name="ComboBox4"/>
      </mc:Fallback>
    </mc:AlternateContent>
    <mc:AlternateContent xmlns:mc="http://schemas.openxmlformats.org/markup-compatibility/2006">
      <mc:Choice Requires="x14">
        <control shapeId="3080" r:id="rId14" name="ComboBox5">
          <controlPr defaultSize="0" autoLine="0" r:id="rId15">
            <anchor moveWithCells="1">
              <from>
                <xdr:col>17</xdr:col>
                <xdr:colOff>28575</xdr:colOff>
                <xdr:row>8</xdr:row>
                <xdr:rowOff>28575</xdr:rowOff>
              </from>
              <to>
                <xdr:col>25</xdr:col>
                <xdr:colOff>447675</xdr:colOff>
                <xdr:row>9</xdr:row>
                <xdr:rowOff>76200</xdr:rowOff>
              </to>
            </anchor>
          </controlPr>
        </control>
      </mc:Choice>
      <mc:Fallback>
        <control shapeId="3080" r:id="rId14" name="ComboBox5"/>
      </mc:Fallback>
    </mc:AlternateContent>
    <mc:AlternateContent xmlns:mc="http://schemas.openxmlformats.org/markup-compatibility/2006">
      <mc:Choice Requires="x14">
        <control shapeId="3073" r:id="rId16" name="EnviarRc">
          <controlPr defaultSize="0" print="0" autoFill="0" autoPict="0" macro="[0]!EnviarRcInfra">
            <anchor moveWithCells="1">
              <from>
                <xdr:col>3</xdr:col>
                <xdr:colOff>590550</xdr:colOff>
                <xdr:row>30</xdr:row>
                <xdr:rowOff>142875</xdr:rowOff>
              </from>
              <to>
                <xdr:col>5</xdr:col>
                <xdr:colOff>0</xdr:colOff>
                <xdr:row>32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17" name="LimparRC">
          <controlPr defaultSize="0" print="0" autoFill="0" autoPict="0" macro="[0]!LimparRCinfra">
            <anchor moveWithCells="1" sizeWithCells="1">
              <from>
                <xdr:col>7</xdr:col>
                <xdr:colOff>647700</xdr:colOff>
                <xdr:row>31</xdr:row>
                <xdr:rowOff>66675</xdr:rowOff>
              </from>
              <to>
                <xdr:col>9</xdr:col>
                <xdr:colOff>485775</xdr:colOff>
                <xdr:row>33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8" name="Button 9">
          <controlPr defaultSize="0" print="0" autoFill="0" autoPict="0" macro="[0]!EnviarServico">
            <anchor moveWithCells="1">
              <from>
                <xdr:col>20</xdr:col>
                <xdr:colOff>381000</xdr:colOff>
                <xdr:row>29</xdr:row>
                <xdr:rowOff>123825</xdr:rowOff>
              </from>
              <to>
                <xdr:col>22</xdr:col>
                <xdr:colOff>419100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9" name="Button 10">
          <controlPr defaultSize="0" print="0" autoFill="0" autoPict="0" macro="[0]!LimparServico">
            <anchor moveWithCells="1" sizeWithCells="1">
              <from>
                <xdr:col>26</xdr:col>
                <xdr:colOff>76200</xdr:colOff>
                <xdr:row>31</xdr:row>
                <xdr:rowOff>104775</xdr:rowOff>
              </from>
              <to>
                <xdr:col>27</xdr:col>
                <xdr:colOff>542925</xdr:colOff>
                <xdr:row>33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C9E05-A700-4181-BC97-87071D92EC2D}">
  <sheetPr codeName="Planilha4">
    <pageSetUpPr autoPageBreaks="0"/>
  </sheetPr>
  <dimension ref="A1:CT61"/>
  <sheetViews>
    <sheetView tabSelected="1" zoomScale="85" zoomScaleNormal="85" workbookViewId="0">
      <pane xSplit="2" ySplit="3" topLeftCell="H4" activePane="bottomRight" state="frozen"/>
      <selection pane="topRight" activeCell="C1" sqref="C1"/>
      <selection pane="bottomLeft" activeCell="A5" sqref="A5"/>
      <selection pane="bottomRight" activeCell="A7" sqref="A5:A7"/>
    </sheetView>
  </sheetViews>
  <sheetFormatPr defaultRowHeight="15" outlineLevelCol="1" x14ac:dyDescent="0.25"/>
  <cols>
    <col min="1" max="1" width="53" style="256" bestFit="1" customWidth="1"/>
    <col min="2" max="2" width="15.85546875" style="256" customWidth="1"/>
    <col min="3" max="3" width="10.5703125" style="256" customWidth="1"/>
    <col min="4" max="4" width="14.140625" customWidth="1"/>
    <col min="5" max="5" width="10" customWidth="1"/>
    <col min="6" max="6" width="26.28515625" customWidth="1"/>
    <col min="7" max="7" width="3.85546875" hidden="1" customWidth="1"/>
    <col min="8" max="8" width="23.5703125" style="272" bestFit="1" customWidth="1"/>
    <col min="9" max="9" width="27.28515625" customWidth="1"/>
    <col min="10" max="10" width="14.42578125" customWidth="1"/>
    <col min="11" max="11" width="18.140625" hidden="1" customWidth="1" outlineLevel="1"/>
    <col min="12" max="12" width="88.140625" hidden="1" customWidth="1" outlineLevel="1"/>
    <col min="13" max="13" width="75.5703125" hidden="1" customWidth="1" outlineLevel="1"/>
    <col min="14" max="14" width="13.85546875" hidden="1" customWidth="1" outlineLevel="1"/>
    <col min="15" max="15" width="13.28515625" customWidth="1" collapsed="1"/>
    <col min="16" max="16" width="36.7109375" bestFit="1" customWidth="1"/>
    <col min="17" max="17" width="14.28515625" customWidth="1"/>
    <col min="18" max="18" width="13.140625" hidden="1" customWidth="1" outlineLevel="1"/>
    <col min="19" max="19" width="68.5703125" hidden="1" customWidth="1" outlineLevel="1"/>
    <col min="20" max="20" width="51.7109375" hidden="1" customWidth="1" outlineLevel="1"/>
    <col min="21" max="21" width="13" hidden="1" customWidth="1" outlineLevel="1"/>
    <col min="22" max="22" width="16.140625" customWidth="1" collapsed="1"/>
    <col min="23" max="23" width="37.5703125" customWidth="1"/>
    <col min="24" max="24" width="18.28515625" style="258" customWidth="1"/>
    <col min="25" max="25" width="13.140625" style="258" hidden="1" customWidth="1" outlineLevel="1"/>
    <col min="26" max="26" width="3.85546875" hidden="1" customWidth="1" outlineLevel="1"/>
    <col min="27" max="27" width="8" hidden="1" customWidth="1" outlineLevel="1"/>
    <col min="28" max="28" width="9.85546875" hidden="1" customWidth="1" outlineLevel="1"/>
    <col min="29" max="29" width="29.7109375" customWidth="1" collapsed="1"/>
    <col min="30" max="30" width="32" customWidth="1"/>
    <col min="31" max="31" width="15.85546875" customWidth="1"/>
    <col min="32" max="32" width="13.7109375" hidden="1" customWidth="1" outlineLevel="1"/>
    <col min="33" max="33" width="80.42578125" hidden="1" customWidth="1" outlineLevel="1"/>
    <col min="34" max="34" width="86.42578125" hidden="1" customWidth="1" outlineLevel="1"/>
    <col min="35" max="35" width="10.85546875" hidden="1" customWidth="1" outlineLevel="1"/>
    <col min="36" max="36" width="16.140625" customWidth="1" collapsed="1"/>
    <col min="37" max="37" width="38.5703125" customWidth="1"/>
    <col min="38" max="38" width="22.85546875" style="258" customWidth="1"/>
    <col min="39" max="39" width="13.140625" customWidth="1"/>
    <col min="40" max="40" width="95.7109375" customWidth="1"/>
    <col min="41" max="41" width="94.140625" customWidth="1"/>
    <col min="42" max="42" width="21.5703125" style="259" customWidth="1"/>
    <col min="43" max="43" width="20.7109375" customWidth="1"/>
    <col min="44" max="44" width="37.85546875" customWidth="1"/>
    <col min="45" max="45" width="17" customWidth="1"/>
    <col min="46" max="46" width="14.28515625" customWidth="1"/>
    <col min="47" max="47" width="85.140625" bestFit="1" customWidth="1"/>
    <col min="48" max="48" width="109.42578125" bestFit="1" customWidth="1"/>
    <col min="49" max="49" width="14.42578125" customWidth="1"/>
    <col min="50" max="50" width="15.85546875" customWidth="1"/>
    <col min="51" max="51" width="44.7109375" customWidth="1"/>
    <col min="52" max="52" width="16" customWidth="1"/>
    <col min="53" max="53" width="21.5703125" customWidth="1"/>
    <col min="54" max="54" width="85.42578125" customWidth="1"/>
    <col min="55" max="55" width="156.140625" customWidth="1"/>
    <col min="56" max="56" width="26.5703125" customWidth="1"/>
    <col min="57" max="57" width="20" customWidth="1"/>
    <col min="58" max="58" width="44.7109375" customWidth="1"/>
    <col min="59" max="59" width="20.28515625" style="258" customWidth="1"/>
    <col min="60" max="60" width="20.140625" customWidth="1"/>
    <col min="61" max="61" width="86.140625" customWidth="1"/>
    <col min="62" max="62" width="97" customWidth="1"/>
    <col min="63" max="63" width="14.42578125" customWidth="1"/>
    <col min="64" max="64" width="33.42578125" customWidth="1"/>
    <col min="65" max="65" width="30.85546875" customWidth="1"/>
    <col min="66" max="67" width="14.28515625" customWidth="1"/>
    <col min="68" max="68" width="130.85546875" customWidth="1"/>
    <col min="69" max="69" width="88.42578125" customWidth="1"/>
    <col min="70" max="70" width="16.140625" customWidth="1"/>
    <col min="71" max="71" width="21.5703125" customWidth="1"/>
    <col min="72" max="72" width="31" customWidth="1"/>
    <col min="73" max="73" width="16.5703125" style="258" customWidth="1"/>
    <col min="74" max="74" width="15.42578125" customWidth="1"/>
    <col min="75" max="75" width="13.140625" customWidth="1"/>
    <col min="76" max="76" width="134.28515625" customWidth="1"/>
    <col min="77" max="77" width="150.42578125" customWidth="1"/>
    <col min="78" max="78" width="10" customWidth="1"/>
    <col min="79" max="79" width="22.85546875" bestFit="1" customWidth="1"/>
    <col min="80" max="80" width="31.85546875" bestFit="1" customWidth="1"/>
    <col min="81" max="81" width="17.85546875" style="258" bestFit="1" customWidth="1"/>
    <col min="82" max="82" width="17.7109375" customWidth="1"/>
    <col min="83" max="83" width="12" bestFit="1" customWidth="1"/>
    <col min="84" max="84" width="116.85546875" customWidth="1"/>
    <col min="85" max="85" width="100.28515625" customWidth="1"/>
    <col min="86" max="86" width="27.42578125" customWidth="1"/>
    <col min="87" max="87" width="15.7109375" bestFit="1" customWidth="1"/>
    <col min="88" max="88" width="33.85546875" customWidth="1"/>
    <col min="89" max="89" width="21.5703125" bestFit="1" customWidth="1"/>
    <col min="90" max="90" width="11.5703125" customWidth="1"/>
    <col min="91" max="91" width="8.7109375" customWidth="1"/>
    <col min="92" max="92" width="91.85546875" customWidth="1"/>
    <col min="93" max="93" width="105.140625" bestFit="1" customWidth="1"/>
    <col min="94" max="94" width="22.42578125" bestFit="1" customWidth="1"/>
    <col min="95" max="95" width="38" customWidth="1"/>
  </cols>
  <sheetData>
    <row r="1" spans="1:98" s="27" customFormat="1" ht="19.149999999999999" customHeight="1" thickBot="1" x14ac:dyDescent="0.3">
      <c r="A1" s="589" t="s">
        <v>86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590"/>
      <c r="O1" s="590"/>
      <c r="P1" s="590"/>
      <c r="Q1" s="590"/>
      <c r="R1" s="590"/>
      <c r="S1" s="590"/>
      <c r="T1" s="590"/>
      <c r="U1" s="590"/>
      <c r="V1" s="590"/>
      <c r="W1" s="590"/>
      <c r="X1" s="591"/>
      <c r="Y1" s="591"/>
      <c r="Z1" s="590"/>
      <c r="AA1" s="590"/>
      <c r="AB1" s="590"/>
      <c r="AC1" s="590"/>
      <c r="AD1" s="590"/>
      <c r="AE1" s="590"/>
      <c r="AF1" s="590"/>
      <c r="AG1" s="590"/>
      <c r="AH1" s="590"/>
      <c r="AI1" s="590"/>
      <c r="AJ1" s="590"/>
      <c r="AK1" s="590"/>
      <c r="AL1" s="590"/>
      <c r="AM1" s="590"/>
      <c r="AN1" s="590"/>
      <c r="AO1" s="590"/>
      <c r="AP1" s="590"/>
      <c r="AQ1" s="590"/>
      <c r="AR1" s="590"/>
      <c r="AS1" s="590"/>
      <c r="AT1" s="590"/>
      <c r="AU1" s="590"/>
      <c r="AV1" s="590"/>
      <c r="AW1" s="590"/>
      <c r="AX1" s="592"/>
      <c r="AY1" s="593">
        <v>0</v>
      </c>
      <c r="AZ1" s="594"/>
      <c r="BA1" s="594"/>
      <c r="BB1" s="594"/>
      <c r="BC1" s="594"/>
      <c r="BD1" s="594"/>
      <c r="BE1" s="594"/>
      <c r="BF1" s="594"/>
      <c r="BG1" s="594"/>
      <c r="BH1" s="594"/>
      <c r="BI1" s="594"/>
      <c r="BJ1" s="594"/>
      <c r="BK1" s="594"/>
      <c r="BL1" s="594"/>
      <c r="BM1" s="594"/>
      <c r="BN1" s="594"/>
      <c r="BO1" s="594"/>
      <c r="BP1" s="594"/>
      <c r="BQ1" s="594"/>
      <c r="BR1" s="594"/>
      <c r="BS1" s="594"/>
      <c r="BT1" s="594"/>
      <c r="BU1" s="594"/>
      <c r="BV1" s="594"/>
      <c r="BW1" s="594"/>
      <c r="BX1" s="594"/>
      <c r="BY1" s="594"/>
      <c r="BZ1" s="594"/>
      <c r="CA1" s="594"/>
      <c r="CB1" s="594"/>
      <c r="CC1" s="594"/>
      <c r="CD1" s="594"/>
      <c r="CE1" s="594"/>
      <c r="CF1" s="594"/>
      <c r="CG1" s="594"/>
      <c r="CH1" s="594"/>
      <c r="CI1" s="594"/>
      <c r="CJ1" s="594"/>
      <c r="CK1" s="594"/>
      <c r="CL1" s="594"/>
      <c r="CM1" s="594"/>
      <c r="CN1" s="594"/>
      <c r="CO1" s="594"/>
      <c r="CP1" s="594"/>
      <c r="CQ1" s="594"/>
      <c r="CR1" s="594"/>
      <c r="CS1" s="594"/>
      <c r="CT1" s="594"/>
    </row>
    <row r="2" spans="1:98" ht="16.5" thickBot="1" x14ac:dyDescent="0.3">
      <c r="A2" s="595"/>
      <c r="B2" s="595"/>
      <c r="C2" s="595"/>
      <c r="D2" s="595"/>
      <c r="E2" s="595"/>
      <c r="F2" s="595"/>
      <c r="G2" s="595"/>
      <c r="H2" s="596"/>
      <c r="I2" s="597" t="s">
        <v>60</v>
      </c>
      <c r="J2" s="598"/>
      <c r="K2" s="598"/>
      <c r="L2" s="598"/>
      <c r="M2" s="598"/>
      <c r="N2" s="599"/>
      <c r="O2" s="600"/>
      <c r="P2" s="601" t="s">
        <v>61</v>
      </c>
      <c r="Q2" s="595"/>
      <c r="R2" s="595"/>
      <c r="S2" s="595"/>
      <c r="T2" s="595"/>
      <c r="U2" s="595"/>
      <c r="V2" s="596"/>
      <c r="W2" s="597" t="s">
        <v>62</v>
      </c>
      <c r="X2" s="602"/>
      <c r="Y2" s="602"/>
      <c r="Z2" s="598"/>
      <c r="AA2" s="598"/>
      <c r="AB2" s="599"/>
      <c r="AC2" s="600"/>
      <c r="AD2" s="603" t="s">
        <v>63</v>
      </c>
      <c r="AE2" s="604"/>
      <c r="AF2" s="604"/>
      <c r="AG2" s="604"/>
      <c r="AH2" s="604"/>
      <c r="AI2" s="604"/>
      <c r="AJ2" s="605"/>
      <c r="AK2" s="606" t="s">
        <v>64</v>
      </c>
      <c r="AL2" s="607"/>
      <c r="AM2" s="607"/>
      <c r="AN2" s="607"/>
      <c r="AO2" s="607"/>
      <c r="AP2" s="608"/>
      <c r="AQ2" s="609"/>
      <c r="AR2" s="603" t="s">
        <v>65</v>
      </c>
      <c r="AS2" s="604"/>
      <c r="AT2" s="604"/>
      <c r="AU2" s="604"/>
      <c r="AV2" s="604"/>
      <c r="AW2" s="604"/>
      <c r="AX2" s="605"/>
      <c r="AY2" s="610" t="s">
        <v>66</v>
      </c>
      <c r="AZ2" s="611"/>
      <c r="BA2" s="611"/>
      <c r="BB2" s="611"/>
      <c r="BC2" s="611"/>
      <c r="BD2" s="612"/>
      <c r="BE2" s="613"/>
      <c r="BF2" s="614" t="s">
        <v>67</v>
      </c>
      <c r="BG2" s="615"/>
      <c r="BH2" s="615"/>
      <c r="BI2" s="615"/>
      <c r="BJ2" s="615"/>
      <c r="BK2" s="615"/>
      <c r="BL2" s="616"/>
      <c r="BM2" s="617" t="s">
        <v>68</v>
      </c>
      <c r="BN2" s="611"/>
      <c r="BO2" s="611"/>
      <c r="BP2" s="611"/>
      <c r="BQ2" s="611"/>
      <c r="BR2" s="612"/>
      <c r="BS2" s="613"/>
      <c r="BT2" s="614" t="s">
        <v>69</v>
      </c>
      <c r="BU2" s="615"/>
      <c r="BV2" s="615"/>
      <c r="BW2" s="615"/>
      <c r="BX2" s="615"/>
      <c r="BY2" s="615"/>
      <c r="BZ2" s="615"/>
      <c r="CA2" s="616"/>
      <c r="CB2" s="610" t="s">
        <v>70</v>
      </c>
      <c r="CC2" s="611"/>
      <c r="CD2" s="611"/>
      <c r="CE2" s="611"/>
      <c r="CF2" s="611"/>
      <c r="CG2" s="611"/>
      <c r="CH2" s="612"/>
      <c r="CI2" s="613"/>
      <c r="CJ2" s="614" t="s">
        <v>71</v>
      </c>
      <c r="CK2" s="615"/>
      <c r="CL2" s="615"/>
      <c r="CM2" s="615"/>
      <c r="CN2" s="615"/>
      <c r="CO2" s="615"/>
      <c r="CP2" s="615"/>
      <c r="CQ2" s="616"/>
    </row>
    <row r="3" spans="1:98" ht="46.15" customHeight="1" thickBot="1" x14ac:dyDescent="0.3">
      <c r="A3" s="28" t="s">
        <v>86</v>
      </c>
      <c r="B3" s="29" t="s">
        <v>1</v>
      </c>
      <c r="C3" s="29" t="s">
        <v>87</v>
      </c>
      <c r="D3" s="29" t="s">
        <v>88</v>
      </c>
      <c r="E3" s="29" t="s">
        <v>89</v>
      </c>
      <c r="F3" s="29" t="s">
        <v>90</v>
      </c>
      <c r="G3" s="29" t="s">
        <v>91</v>
      </c>
      <c r="H3" s="30" t="s">
        <v>494</v>
      </c>
      <c r="I3" s="31" t="s">
        <v>15</v>
      </c>
      <c r="J3" s="32" t="s">
        <v>92</v>
      </c>
      <c r="K3" s="32" t="s">
        <v>9</v>
      </c>
      <c r="L3" s="32" t="s">
        <v>7</v>
      </c>
      <c r="M3" s="32" t="s">
        <v>93</v>
      </c>
      <c r="N3" s="33" t="s">
        <v>94</v>
      </c>
      <c r="O3" s="34" t="s">
        <v>95</v>
      </c>
      <c r="P3" s="31" t="s">
        <v>15</v>
      </c>
      <c r="Q3" s="32" t="s">
        <v>92</v>
      </c>
      <c r="R3" s="32" t="s">
        <v>96</v>
      </c>
      <c r="S3" s="32" t="s">
        <v>7</v>
      </c>
      <c r="T3" s="32" t="s">
        <v>97</v>
      </c>
      <c r="U3" s="33" t="s">
        <v>94</v>
      </c>
      <c r="V3" s="34" t="s">
        <v>95</v>
      </c>
      <c r="W3" s="31" t="s">
        <v>15</v>
      </c>
      <c r="X3" s="35" t="s">
        <v>92</v>
      </c>
      <c r="Y3" s="35" t="s">
        <v>9</v>
      </c>
      <c r="Z3" s="32" t="s">
        <v>7</v>
      </c>
      <c r="AA3" s="32" t="s">
        <v>93</v>
      </c>
      <c r="AB3" s="33" t="s">
        <v>94</v>
      </c>
      <c r="AC3" s="34" t="s">
        <v>95</v>
      </c>
      <c r="AD3" s="31" t="s">
        <v>15</v>
      </c>
      <c r="AE3" s="32" t="s">
        <v>92</v>
      </c>
      <c r="AF3" s="32" t="s">
        <v>9</v>
      </c>
      <c r="AG3" s="32" t="s">
        <v>7</v>
      </c>
      <c r="AH3" s="32" t="s">
        <v>93</v>
      </c>
      <c r="AI3" s="33" t="s">
        <v>98</v>
      </c>
      <c r="AJ3" s="36" t="s">
        <v>95</v>
      </c>
      <c r="AK3" s="31" t="s">
        <v>15</v>
      </c>
      <c r="AL3" s="35" t="s">
        <v>92</v>
      </c>
      <c r="AM3" s="32" t="s">
        <v>9</v>
      </c>
      <c r="AN3" s="32" t="s">
        <v>7</v>
      </c>
      <c r="AO3" s="32" t="s">
        <v>93</v>
      </c>
      <c r="AP3" s="32" t="s">
        <v>94</v>
      </c>
      <c r="AQ3" s="37" t="s">
        <v>95</v>
      </c>
      <c r="AR3" s="31" t="s">
        <v>15</v>
      </c>
      <c r="AS3" s="32" t="s">
        <v>92</v>
      </c>
      <c r="AT3" s="32" t="s">
        <v>9</v>
      </c>
      <c r="AU3" s="32" t="s">
        <v>7</v>
      </c>
      <c r="AV3" s="32" t="s">
        <v>93</v>
      </c>
      <c r="AW3" s="33" t="s">
        <v>94</v>
      </c>
      <c r="AX3" s="34" t="s">
        <v>95</v>
      </c>
      <c r="AY3" s="38" t="s">
        <v>15</v>
      </c>
      <c r="AZ3" s="39" t="s">
        <v>92</v>
      </c>
      <c r="BA3" s="39" t="s">
        <v>9</v>
      </c>
      <c r="BB3" s="39" t="s">
        <v>7</v>
      </c>
      <c r="BC3" s="39" t="s">
        <v>93</v>
      </c>
      <c r="BD3" s="40" t="s">
        <v>94</v>
      </c>
      <c r="BE3" s="41" t="s">
        <v>95</v>
      </c>
      <c r="BF3" s="38" t="s">
        <v>15</v>
      </c>
      <c r="BG3" s="42" t="s">
        <v>92</v>
      </c>
      <c r="BH3" s="39" t="s">
        <v>9</v>
      </c>
      <c r="BI3" s="39" t="s">
        <v>7</v>
      </c>
      <c r="BJ3" s="39" t="s">
        <v>93</v>
      </c>
      <c r="BK3" s="40" t="s">
        <v>94</v>
      </c>
      <c r="BL3" s="41" t="s">
        <v>95</v>
      </c>
      <c r="BM3" s="38" t="s">
        <v>15</v>
      </c>
      <c r="BN3" s="39" t="s">
        <v>92</v>
      </c>
      <c r="BO3" s="39" t="s">
        <v>9</v>
      </c>
      <c r="BP3" s="39" t="s">
        <v>7</v>
      </c>
      <c r="BQ3" s="39" t="s">
        <v>93</v>
      </c>
      <c r="BR3" s="40" t="s">
        <v>94</v>
      </c>
      <c r="BS3" s="41" t="s">
        <v>95</v>
      </c>
      <c r="BT3" s="38" t="s">
        <v>15</v>
      </c>
      <c r="BU3" s="42" t="s">
        <v>92</v>
      </c>
      <c r="BV3" s="39" t="s">
        <v>9</v>
      </c>
      <c r="BW3" s="39" t="s">
        <v>99</v>
      </c>
      <c r="BX3" s="39" t="s">
        <v>7</v>
      </c>
      <c r="BY3" s="39" t="s">
        <v>93</v>
      </c>
      <c r="BZ3" s="40" t="s">
        <v>94</v>
      </c>
      <c r="CA3" s="43" t="s">
        <v>95</v>
      </c>
      <c r="CB3" s="38" t="s">
        <v>15</v>
      </c>
      <c r="CC3" s="42" t="s">
        <v>92</v>
      </c>
      <c r="CD3" s="39" t="s">
        <v>9</v>
      </c>
      <c r="CE3" s="39" t="s">
        <v>99</v>
      </c>
      <c r="CF3" s="39" t="s">
        <v>7</v>
      </c>
      <c r="CG3" s="39" t="s">
        <v>93</v>
      </c>
      <c r="CH3" s="40" t="s">
        <v>95</v>
      </c>
      <c r="CI3" s="41" t="s">
        <v>94</v>
      </c>
      <c r="CJ3" s="38" t="s">
        <v>15</v>
      </c>
      <c r="CK3" s="39" t="s">
        <v>92</v>
      </c>
      <c r="CL3" s="39" t="s">
        <v>9</v>
      </c>
      <c r="CM3" s="39" t="s">
        <v>99</v>
      </c>
      <c r="CN3" s="39" t="s">
        <v>7</v>
      </c>
      <c r="CO3" s="39" t="s">
        <v>93</v>
      </c>
      <c r="CP3" s="40" t="s">
        <v>94</v>
      </c>
      <c r="CQ3" s="41" t="s">
        <v>95</v>
      </c>
    </row>
    <row r="4" spans="1:98" ht="17.45" customHeight="1" thickBot="1" x14ac:dyDescent="0.3">
      <c r="A4" s="586" t="s">
        <v>100</v>
      </c>
      <c r="B4" s="587"/>
      <c r="C4" s="587"/>
      <c r="D4" s="587"/>
      <c r="E4" s="587"/>
      <c r="F4" s="587"/>
      <c r="G4" s="587"/>
      <c r="H4" s="588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7"/>
      <c r="Y4" s="427"/>
      <c r="Z4" s="426"/>
      <c r="AA4" s="426"/>
      <c r="AB4" s="426"/>
      <c r="AC4" s="426"/>
      <c r="AD4" s="426"/>
      <c r="AE4" s="428"/>
      <c r="AF4" s="428"/>
      <c r="AG4" s="428"/>
      <c r="AH4" s="428"/>
      <c r="AI4" s="429"/>
      <c r="AJ4" s="430"/>
      <c r="AK4" s="431"/>
      <c r="AL4" s="432"/>
      <c r="AM4" s="433"/>
      <c r="AN4" s="433"/>
      <c r="AO4" s="434"/>
      <c r="AP4" s="428"/>
      <c r="AQ4" s="435"/>
      <c r="AR4" s="436"/>
      <c r="AS4" s="428"/>
      <c r="AT4" s="428"/>
      <c r="AU4" s="428"/>
      <c r="AV4" s="428"/>
      <c r="AW4" s="429"/>
      <c r="AX4" s="437"/>
      <c r="AY4" s="438"/>
      <c r="AZ4" s="439"/>
      <c r="BA4" s="439"/>
      <c r="BB4" s="439"/>
      <c r="BC4" s="439"/>
      <c r="BD4" s="440"/>
      <c r="BE4" s="440"/>
      <c r="BF4" s="438"/>
      <c r="BG4" s="441"/>
      <c r="BH4" s="439"/>
      <c r="BI4" s="439"/>
      <c r="BJ4" s="439"/>
      <c r="BK4" s="440"/>
      <c r="BL4" s="442"/>
      <c r="BM4" s="438"/>
      <c r="BN4" s="443"/>
      <c r="BO4" s="439"/>
      <c r="BP4" s="439"/>
      <c r="BQ4" s="439"/>
      <c r="BR4" s="440"/>
      <c r="BS4" s="444"/>
      <c r="BT4" s="438"/>
      <c r="BU4" s="441"/>
      <c r="BV4" s="439"/>
      <c r="BW4" s="439"/>
      <c r="BX4" s="439"/>
      <c r="BY4" s="439"/>
      <c r="BZ4" s="440"/>
      <c r="CA4" s="444"/>
      <c r="CB4" s="438"/>
      <c r="CC4" s="441"/>
      <c r="CD4" s="439"/>
      <c r="CE4" s="439"/>
      <c r="CF4" s="439"/>
      <c r="CG4" s="439"/>
      <c r="CH4" s="440"/>
      <c r="CI4" s="444"/>
      <c r="CJ4" s="438"/>
      <c r="CK4" s="439"/>
      <c r="CL4" s="439"/>
      <c r="CM4" s="440"/>
      <c r="CN4" s="439"/>
      <c r="CO4" s="438"/>
      <c r="CP4" s="440"/>
      <c r="CQ4" s="444"/>
    </row>
    <row r="5" spans="1:98" ht="22.5" customHeight="1" thickBot="1" x14ac:dyDescent="0.3">
      <c r="A5" s="683" t="s">
        <v>101</v>
      </c>
      <c r="B5" s="44" t="s">
        <v>102</v>
      </c>
      <c r="C5" s="44" t="s">
        <v>103</v>
      </c>
      <c r="D5" s="45">
        <v>4508010</v>
      </c>
      <c r="E5" s="45">
        <v>1917</v>
      </c>
      <c r="F5" s="45" t="s">
        <v>104</v>
      </c>
      <c r="G5" s="45" t="s">
        <v>105</v>
      </c>
      <c r="H5" s="79">
        <v>17</v>
      </c>
      <c r="I5" s="100">
        <v>12828784</v>
      </c>
      <c r="J5" s="101">
        <v>882.37</v>
      </c>
      <c r="K5" s="398">
        <v>42.28</v>
      </c>
      <c r="L5" s="46">
        <v>4500751729</v>
      </c>
      <c r="M5" s="46">
        <v>5000001267</v>
      </c>
      <c r="N5" s="49">
        <v>45671</v>
      </c>
      <c r="O5" s="49">
        <v>45674</v>
      </c>
      <c r="P5" s="100"/>
      <c r="Q5" s="101"/>
      <c r="R5" s="398"/>
      <c r="S5" s="46"/>
      <c r="T5" s="46"/>
      <c r="U5" s="50"/>
      <c r="V5" s="125"/>
      <c r="W5" s="46"/>
      <c r="X5" s="47"/>
      <c r="Y5" s="47"/>
      <c r="Z5" s="46"/>
      <c r="AA5" s="46"/>
      <c r="AB5" s="49"/>
      <c r="AC5" s="51"/>
      <c r="AD5" s="52"/>
      <c r="AE5" s="53"/>
      <c r="AF5" s="53"/>
      <c r="AG5" s="54"/>
      <c r="AH5" s="54"/>
      <c r="AI5" s="55"/>
      <c r="AJ5" s="56"/>
      <c r="AK5" s="57"/>
      <c r="AL5" s="58"/>
      <c r="AM5" s="58"/>
      <c r="AN5" s="57"/>
      <c r="AO5" s="59"/>
      <c r="AP5" s="60"/>
      <c r="AQ5" s="61"/>
      <c r="AR5" s="62"/>
      <c r="AS5" s="53"/>
      <c r="AT5" s="53"/>
      <c r="AU5" s="54"/>
      <c r="AV5" s="54"/>
      <c r="AW5" s="55"/>
      <c r="AX5" s="63"/>
      <c r="AY5" s="64"/>
      <c r="AZ5" s="65"/>
      <c r="BA5" s="65"/>
      <c r="BB5" s="66"/>
      <c r="BC5" s="66"/>
      <c r="BD5" s="67"/>
      <c r="BE5" s="68"/>
      <c r="BF5" s="69"/>
      <c r="BG5" s="65"/>
      <c r="BH5" s="65"/>
      <c r="BI5" s="66"/>
      <c r="BJ5" s="66"/>
      <c r="BK5" s="70"/>
      <c r="BL5" s="71"/>
      <c r="BM5" s="64"/>
      <c r="BN5" s="72"/>
      <c r="BO5" s="65"/>
      <c r="BP5" s="66"/>
      <c r="BQ5" s="66"/>
      <c r="BR5" s="67"/>
      <c r="BS5" s="161"/>
      <c r="BT5" s="64"/>
      <c r="BU5" s="73"/>
      <c r="BV5" s="65"/>
      <c r="BW5" s="74"/>
      <c r="BX5" s="66"/>
      <c r="BY5" s="66"/>
      <c r="BZ5" s="75"/>
      <c r="CA5" s="161"/>
      <c r="CB5" s="64"/>
      <c r="CC5" s="73"/>
      <c r="CD5" s="65"/>
      <c r="CE5" s="74"/>
      <c r="CF5" s="66"/>
      <c r="CG5" s="66"/>
      <c r="CH5" s="75"/>
      <c r="CI5" s="161"/>
      <c r="CJ5" s="64"/>
      <c r="CK5" s="65"/>
      <c r="CL5" s="65"/>
      <c r="CM5" s="76"/>
      <c r="CN5" s="66"/>
      <c r="CO5" s="69"/>
      <c r="CP5" s="67"/>
      <c r="CQ5" s="161"/>
    </row>
    <row r="6" spans="1:98" ht="19.5" customHeight="1" thickBot="1" x14ac:dyDescent="0.3">
      <c r="A6" s="685" t="s">
        <v>106</v>
      </c>
      <c r="B6" s="3" t="s">
        <v>102</v>
      </c>
      <c r="C6" s="3" t="s">
        <v>107</v>
      </c>
      <c r="D6" s="78">
        <v>4508010</v>
      </c>
      <c r="E6" s="78">
        <v>1917</v>
      </c>
      <c r="F6" s="78" t="s">
        <v>104</v>
      </c>
      <c r="G6" s="78" t="s">
        <v>105</v>
      </c>
      <c r="H6" s="79">
        <v>17</v>
      </c>
      <c r="I6" s="100">
        <v>12828806</v>
      </c>
      <c r="J6" s="101">
        <v>2487.33</v>
      </c>
      <c r="K6" s="398">
        <v>49.55</v>
      </c>
      <c r="L6" s="46">
        <v>4500751855</v>
      </c>
      <c r="M6" s="46">
        <v>5000001545</v>
      </c>
      <c r="N6" s="48">
        <v>45673</v>
      </c>
      <c r="O6" s="49">
        <v>45674</v>
      </c>
      <c r="P6" s="100"/>
      <c r="Q6" s="101"/>
      <c r="R6" s="398"/>
      <c r="S6" s="100"/>
      <c r="T6" s="46"/>
      <c r="U6" s="50"/>
      <c r="V6" s="125"/>
      <c r="W6" s="46"/>
      <c r="X6" s="47"/>
      <c r="Y6" s="47"/>
      <c r="Z6" s="46"/>
      <c r="AA6" s="46"/>
      <c r="AB6" s="49"/>
      <c r="AC6" s="51"/>
      <c r="AD6" s="52"/>
      <c r="AE6" s="58"/>
      <c r="AF6" s="53"/>
      <c r="AG6" s="57"/>
      <c r="AH6" s="57"/>
      <c r="AI6" s="80"/>
      <c r="AJ6" s="56"/>
      <c r="AK6" s="57"/>
      <c r="AL6" s="58"/>
      <c r="AM6" s="58"/>
      <c r="AN6" s="57"/>
      <c r="AO6" s="81"/>
      <c r="AP6" s="82"/>
      <c r="AQ6" s="83"/>
      <c r="AR6" s="84"/>
      <c r="AS6" s="58"/>
      <c r="AT6" s="85"/>
      <c r="AU6" s="57"/>
      <c r="AV6" s="57"/>
      <c r="AW6" s="86"/>
      <c r="AX6" s="87"/>
      <c r="AY6" s="88"/>
      <c r="AZ6" s="72"/>
      <c r="BA6" s="89"/>
      <c r="BB6" s="90"/>
      <c r="BC6" s="90"/>
      <c r="BD6" s="91"/>
      <c r="BE6" s="92"/>
      <c r="BF6" s="90"/>
      <c r="BG6" s="72"/>
      <c r="BH6" s="89"/>
      <c r="BI6" s="90"/>
      <c r="BJ6" s="90"/>
      <c r="BK6" s="93"/>
      <c r="BL6" s="94"/>
      <c r="BM6" s="88"/>
      <c r="BN6" s="72"/>
      <c r="BO6" s="89"/>
      <c r="BP6" s="90"/>
      <c r="BQ6" s="90"/>
      <c r="BR6" s="95"/>
      <c r="BS6" s="161"/>
      <c r="BT6" s="88"/>
      <c r="BU6" s="72"/>
      <c r="BV6" s="89"/>
      <c r="BW6" s="96"/>
      <c r="BX6" s="90"/>
      <c r="BY6" s="90"/>
      <c r="BZ6" s="97"/>
      <c r="CA6" s="161"/>
      <c r="CB6" s="88"/>
      <c r="CC6" s="72"/>
      <c r="CD6" s="89"/>
      <c r="CE6" s="96"/>
      <c r="CF6" s="90"/>
      <c r="CG6" s="90"/>
      <c r="CH6" s="97"/>
      <c r="CI6" s="161"/>
      <c r="CJ6" s="98"/>
      <c r="CK6" s="72"/>
      <c r="CL6" s="89"/>
      <c r="CM6" s="96"/>
      <c r="CN6" s="99"/>
      <c r="CO6" s="99"/>
      <c r="CP6" s="91"/>
      <c r="CQ6" s="161"/>
    </row>
    <row r="7" spans="1:98" ht="25.5" customHeight="1" thickBot="1" x14ac:dyDescent="0.3">
      <c r="A7" s="684" t="s">
        <v>108</v>
      </c>
      <c r="B7" s="3" t="s">
        <v>102</v>
      </c>
      <c r="C7" s="3" t="s">
        <v>107</v>
      </c>
      <c r="D7" s="78">
        <v>4508010</v>
      </c>
      <c r="E7" s="78">
        <v>1917</v>
      </c>
      <c r="F7" s="78" t="s">
        <v>104</v>
      </c>
      <c r="G7" s="78" t="s">
        <v>105</v>
      </c>
      <c r="H7" s="79">
        <v>17</v>
      </c>
      <c r="I7" s="100">
        <v>12828807</v>
      </c>
      <c r="J7" s="101">
        <v>10186.9</v>
      </c>
      <c r="K7" s="398">
        <v>309.93</v>
      </c>
      <c r="L7" s="46">
        <v>4500751856</v>
      </c>
      <c r="M7" s="46">
        <v>5000001546</v>
      </c>
      <c r="N7" s="48">
        <v>45673</v>
      </c>
      <c r="O7" s="49">
        <v>45674</v>
      </c>
      <c r="P7" s="100"/>
      <c r="Q7" s="101"/>
      <c r="R7" s="398"/>
      <c r="S7" s="100"/>
      <c r="T7" s="46"/>
      <c r="U7" s="50"/>
      <c r="V7" s="125"/>
      <c r="W7" s="100"/>
      <c r="X7" s="47"/>
      <c r="Y7" s="101"/>
      <c r="Z7" s="46"/>
      <c r="AA7" s="102"/>
      <c r="AB7" s="49"/>
      <c r="AC7" s="51"/>
      <c r="AD7" s="52"/>
      <c r="AE7" s="58"/>
      <c r="AF7" s="58"/>
      <c r="AG7" s="57"/>
      <c r="AH7" s="103"/>
      <c r="AI7" s="80"/>
      <c r="AJ7" s="104"/>
      <c r="AK7" s="57"/>
      <c r="AL7" s="105"/>
      <c r="AM7" s="58"/>
      <c r="AN7" s="57"/>
      <c r="AO7" s="106"/>
      <c r="AP7" s="107"/>
      <c r="AQ7" s="107"/>
      <c r="AR7" s="106"/>
      <c r="AS7" s="72"/>
      <c r="AT7" s="85"/>
      <c r="AU7" s="106"/>
      <c r="AV7" s="106"/>
      <c r="AW7" s="104"/>
      <c r="AX7" s="140"/>
      <c r="AY7" s="106"/>
      <c r="AZ7" s="72"/>
      <c r="BA7" s="72"/>
      <c r="BB7" s="57"/>
      <c r="BC7" s="90"/>
      <c r="BD7" s="91"/>
      <c r="BE7" s="92"/>
      <c r="BF7" s="90"/>
      <c r="BG7" s="72"/>
      <c r="BH7" s="72"/>
      <c r="BI7" s="57"/>
      <c r="BJ7" s="57"/>
      <c r="BK7" s="93"/>
      <c r="BL7" s="94"/>
      <c r="BM7" s="88"/>
      <c r="BN7" s="72"/>
      <c r="BO7" s="72"/>
      <c r="BP7" s="57"/>
      <c r="BQ7" s="57"/>
      <c r="BR7" s="95"/>
      <c r="BS7" s="161"/>
      <c r="BT7" s="88"/>
      <c r="BU7" s="72"/>
      <c r="BV7" s="72"/>
      <c r="BW7" s="96"/>
      <c r="BX7" s="90"/>
      <c r="BY7" s="57"/>
      <c r="BZ7" s="97"/>
      <c r="CA7" s="161"/>
      <c r="CB7" s="88"/>
      <c r="CC7" s="72"/>
      <c r="CD7" s="89"/>
      <c r="CE7" s="96"/>
      <c r="CF7" s="90"/>
      <c r="CG7" s="90"/>
      <c r="CH7" s="97"/>
      <c r="CI7" s="161"/>
      <c r="CJ7" s="108"/>
      <c r="CK7" s="109"/>
      <c r="CL7" s="72"/>
      <c r="CM7" s="96"/>
      <c r="CN7" s="57"/>
      <c r="CO7" s="57"/>
      <c r="CP7" s="91"/>
      <c r="CQ7" s="161"/>
    </row>
    <row r="8" spans="1:98" s="115" customFormat="1" ht="27.75" customHeight="1" thickBot="1" x14ac:dyDescent="0.3">
      <c r="A8" s="110" t="s">
        <v>109</v>
      </c>
      <c r="B8" s="111" t="s">
        <v>102</v>
      </c>
      <c r="C8" s="112" t="s">
        <v>107</v>
      </c>
      <c r="D8" s="113">
        <v>4508010</v>
      </c>
      <c r="E8" s="113">
        <v>1917</v>
      </c>
      <c r="F8" s="113" t="s">
        <v>104</v>
      </c>
      <c r="G8" s="113" t="s">
        <v>105</v>
      </c>
      <c r="H8" s="79">
        <v>17</v>
      </c>
      <c r="I8" s="100">
        <v>12828808</v>
      </c>
      <c r="J8" s="101">
        <v>956.16</v>
      </c>
      <c r="K8" s="398">
        <v>19.45</v>
      </c>
      <c r="L8" s="383">
        <v>4500751857</v>
      </c>
      <c r="M8" s="383">
        <v>5000001547</v>
      </c>
      <c r="N8" s="385">
        <v>45673</v>
      </c>
      <c r="O8" s="385">
        <v>45673</v>
      </c>
      <c r="P8" s="100"/>
      <c r="Q8" s="101"/>
      <c r="R8" s="398"/>
      <c r="S8" s="100"/>
      <c r="T8" s="46"/>
      <c r="U8" s="50"/>
      <c r="V8" s="125"/>
      <c r="W8" s="383"/>
      <c r="X8" s="384"/>
      <c r="Y8" s="384"/>
      <c r="Z8" s="383"/>
      <c r="AA8" s="383"/>
      <c r="AB8" s="385"/>
      <c r="AC8" s="51"/>
      <c r="AD8" s="387"/>
      <c r="AE8" s="388"/>
      <c r="AF8" s="388"/>
      <c r="AG8" s="90"/>
      <c r="AH8" s="90"/>
      <c r="AI8" s="80"/>
      <c r="AJ8" s="104"/>
      <c r="AK8" s="57"/>
      <c r="AL8" s="105"/>
      <c r="AM8" s="58"/>
      <c r="AN8" s="57"/>
      <c r="AO8" s="106"/>
      <c r="AP8" s="107"/>
      <c r="AQ8" s="107"/>
      <c r="AR8" s="106"/>
      <c r="AS8" s="72"/>
      <c r="AT8" s="85"/>
      <c r="AU8" s="106"/>
      <c r="AV8" s="106"/>
      <c r="AW8" s="104"/>
      <c r="AX8" s="140"/>
      <c r="AY8" s="106"/>
      <c r="AZ8" s="72"/>
      <c r="BA8" s="114"/>
      <c r="BB8" s="57"/>
      <c r="BC8" s="57"/>
      <c r="BD8" s="91"/>
      <c r="BE8" s="92"/>
      <c r="BF8" s="90"/>
      <c r="BG8" s="72"/>
      <c r="BH8" s="89"/>
      <c r="BI8" s="57"/>
      <c r="BJ8" s="57"/>
      <c r="BK8" s="93"/>
      <c r="BL8" s="94"/>
      <c r="BM8" s="88"/>
      <c r="BN8" s="72"/>
      <c r="BO8" s="72"/>
      <c r="BP8" s="57"/>
      <c r="BQ8" s="57"/>
      <c r="BR8" s="95"/>
      <c r="BS8" s="161"/>
      <c r="BT8" s="88"/>
      <c r="BU8" s="72"/>
      <c r="BV8" s="72"/>
      <c r="BW8" s="57"/>
      <c r="BX8" s="57"/>
      <c r="BY8" s="57"/>
      <c r="BZ8" s="97"/>
      <c r="CA8" s="161"/>
      <c r="CB8" s="88"/>
      <c r="CC8" s="72"/>
      <c r="CD8" s="389"/>
      <c r="CE8" s="96"/>
      <c r="CF8" s="90"/>
      <c r="CG8" s="90"/>
      <c r="CH8" s="97"/>
      <c r="CI8" s="161"/>
      <c r="CJ8" s="108"/>
      <c r="CK8" s="109"/>
      <c r="CL8" s="72"/>
      <c r="CM8" s="90"/>
      <c r="CN8" s="57"/>
      <c r="CO8" s="57"/>
      <c r="CP8" s="91"/>
      <c r="CQ8" s="161"/>
    </row>
    <row r="9" spans="1:98" ht="27.75" customHeight="1" thickBot="1" x14ac:dyDescent="0.3">
      <c r="A9" s="77" t="s">
        <v>110</v>
      </c>
      <c r="B9" s="3" t="s">
        <v>102</v>
      </c>
      <c r="C9" s="3" t="s">
        <v>107</v>
      </c>
      <c r="D9" s="78">
        <v>4508010</v>
      </c>
      <c r="E9" s="78">
        <v>1917</v>
      </c>
      <c r="F9" s="78" t="s">
        <v>104</v>
      </c>
      <c r="G9" s="78" t="s">
        <v>105</v>
      </c>
      <c r="H9" s="79">
        <v>17</v>
      </c>
      <c r="I9" s="100">
        <v>12828809</v>
      </c>
      <c r="J9" s="101">
        <v>1168.17</v>
      </c>
      <c r="K9" s="398">
        <v>28.97</v>
      </c>
      <c r="L9" s="46">
        <v>4500751858</v>
      </c>
      <c r="M9" s="46">
        <v>5000001268</v>
      </c>
      <c r="N9" s="48">
        <v>45671</v>
      </c>
      <c r="O9" s="49">
        <v>45672</v>
      </c>
      <c r="P9" s="100"/>
      <c r="Q9" s="101"/>
      <c r="R9" s="398"/>
      <c r="S9" s="100"/>
      <c r="T9" s="46"/>
      <c r="U9" s="50"/>
      <c r="V9" s="125"/>
      <c r="W9" s="46"/>
      <c r="X9" s="47"/>
      <c r="Y9" s="47"/>
      <c r="Z9" s="46"/>
      <c r="AA9" s="46"/>
      <c r="AB9" s="49"/>
      <c r="AC9" s="51"/>
      <c r="AD9" s="52"/>
      <c r="AE9" s="58"/>
      <c r="AF9" s="58"/>
      <c r="AG9" s="57"/>
      <c r="AH9" s="57"/>
      <c r="AI9" s="80"/>
      <c r="AJ9" s="104"/>
      <c r="AK9" s="116"/>
      <c r="AL9" s="117"/>
      <c r="AM9" s="118"/>
      <c r="AN9" s="116"/>
      <c r="AO9" s="119"/>
      <c r="AP9" s="120"/>
      <c r="AQ9" s="120"/>
      <c r="AR9" s="106"/>
      <c r="AS9" s="72"/>
      <c r="AT9" s="85"/>
      <c r="AU9" s="106"/>
      <c r="AV9" s="106"/>
      <c r="AW9" s="104"/>
      <c r="AX9" s="140"/>
      <c r="AY9" s="106"/>
      <c r="AZ9" s="72"/>
      <c r="BA9" s="72"/>
      <c r="BB9" s="57"/>
      <c r="BC9" s="57"/>
      <c r="BD9" s="91"/>
      <c r="BE9" s="92"/>
      <c r="BF9" s="90"/>
      <c r="BG9" s="72"/>
      <c r="BH9" s="89"/>
      <c r="BI9" s="57"/>
      <c r="BJ9" s="57"/>
      <c r="BK9" s="94"/>
      <c r="BL9" s="94"/>
      <c r="BM9" s="88"/>
      <c r="BN9" s="72"/>
      <c r="BO9" s="72"/>
      <c r="BP9" s="57"/>
      <c r="BQ9" s="57"/>
      <c r="BR9" s="95"/>
      <c r="BS9" s="161"/>
      <c r="BT9" s="88"/>
      <c r="BU9" s="72"/>
      <c r="BV9" s="72"/>
      <c r="BW9" s="57"/>
      <c r="BX9" s="57"/>
      <c r="BY9" s="57"/>
      <c r="BZ9" s="97"/>
      <c r="CA9" s="161"/>
      <c r="CB9" s="88"/>
      <c r="CC9" s="72"/>
      <c r="CD9" s="389"/>
      <c r="CE9" s="96"/>
      <c r="CF9" s="90"/>
      <c r="CG9" s="90"/>
      <c r="CH9" s="97"/>
      <c r="CI9" s="161"/>
      <c r="CJ9" s="121"/>
      <c r="CK9" s="72"/>
      <c r="CL9" s="72"/>
      <c r="CM9" s="96"/>
      <c r="CN9" s="90"/>
      <c r="CO9" s="90"/>
      <c r="CP9" s="91"/>
      <c r="CQ9" s="161"/>
    </row>
    <row r="10" spans="1:98" s="115" customFormat="1" ht="27.75" customHeight="1" thickBot="1" x14ac:dyDescent="0.3">
      <c r="A10" s="110" t="s">
        <v>111</v>
      </c>
      <c r="B10" s="111" t="s">
        <v>102</v>
      </c>
      <c r="C10" s="112" t="s">
        <v>107</v>
      </c>
      <c r="D10" s="113">
        <v>4508010</v>
      </c>
      <c r="E10" s="113">
        <v>1917</v>
      </c>
      <c r="F10" s="113" t="s">
        <v>104</v>
      </c>
      <c r="G10" s="113" t="s">
        <v>105</v>
      </c>
      <c r="H10" s="79">
        <v>17</v>
      </c>
      <c r="I10" s="100">
        <v>12828810</v>
      </c>
      <c r="J10" s="101">
        <v>7912.99</v>
      </c>
      <c r="K10" s="398">
        <v>404.81</v>
      </c>
      <c r="L10" s="383">
        <v>4500751860</v>
      </c>
      <c r="M10" s="383">
        <v>5000001548</v>
      </c>
      <c r="N10" s="385">
        <v>45673</v>
      </c>
      <c r="O10" s="385">
        <v>45673</v>
      </c>
      <c r="P10" s="100"/>
      <c r="Q10" s="101"/>
      <c r="R10" s="398"/>
      <c r="S10" s="100"/>
      <c r="T10" s="46"/>
      <c r="U10" s="50"/>
      <c r="V10" s="125"/>
      <c r="W10" s="383"/>
      <c r="X10" s="384"/>
      <c r="Y10" s="384"/>
      <c r="Z10" s="383"/>
      <c r="AA10" s="383"/>
      <c r="AB10" s="386"/>
      <c r="AC10" s="51"/>
      <c r="AD10" s="387"/>
      <c r="AE10" s="388"/>
      <c r="AF10" s="388"/>
      <c r="AG10" s="113"/>
      <c r="AH10" s="57"/>
      <c r="AI10" s="80"/>
      <c r="AJ10" s="104"/>
      <c r="AK10" s="57"/>
      <c r="AL10" s="105"/>
      <c r="AM10" s="58"/>
      <c r="AN10" s="57"/>
      <c r="AO10" s="57"/>
      <c r="AP10" s="122"/>
      <c r="AQ10" s="122"/>
      <c r="AR10" s="106"/>
      <c r="AS10" s="72"/>
      <c r="AT10" s="85"/>
      <c r="AU10" s="106"/>
      <c r="AV10" s="106"/>
      <c r="AW10" s="104"/>
      <c r="AX10" s="140"/>
      <c r="AY10" s="106"/>
      <c r="AZ10" s="72"/>
      <c r="BA10" s="114"/>
      <c r="BB10" s="57"/>
      <c r="BC10" s="57"/>
      <c r="BD10" s="91"/>
      <c r="BE10" s="92"/>
      <c r="BF10" s="90"/>
      <c r="BG10" s="72"/>
      <c r="BH10" s="89"/>
      <c r="BI10" s="57"/>
      <c r="BJ10" s="57"/>
      <c r="BK10" s="56"/>
      <c r="BL10" s="56"/>
      <c r="BM10" s="88"/>
      <c r="BN10" s="72"/>
      <c r="BO10" s="72"/>
      <c r="BP10" s="57"/>
      <c r="BQ10" s="57"/>
      <c r="BR10" s="95"/>
      <c r="BS10" s="161"/>
      <c r="BT10" s="88"/>
      <c r="BU10" s="72"/>
      <c r="BV10" s="72"/>
      <c r="BW10" s="57"/>
      <c r="BX10" s="57"/>
      <c r="BY10" s="57"/>
      <c r="BZ10" s="97"/>
      <c r="CA10" s="161"/>
      <c r="CB10" s="88"/>
      <c r="CC10" s="72"/>
      <c r="CD10" s="89"/>
      <c r="CE10" s="96"/>
      <c r="CF10" s="57"/>
      <c r="CG10" s="57"/>
      <c r="CH10" s="97"/>
      <c r="CI10" s="161"/>
      <c r="CJ10" s="108"/>
      <c r="CK10" s="109"/>
      <c r="CL10" s="72"/>
      <c r="CM10" s="90"/>
      <c r="CN10" s="57"/>
      <c r="CO10" s="57"/>
      <c r="CP10" s="91"/>
      <c r="CQ10" s="161"/>
    </row>
    <row r="11" spans="1:98" ht="26.25" thickBot="1" x14ac:dyDescent="0.3">
      <c r="A11" s="123" t="s">
        <v>112</v>
      </c>
      <c r="B11" s="2" t="s">
        <v>35</v>
      </c>
      <c r="C11" s="3" t="s">
        <v>107</v>
      </c>
      <c r="D11" s="78">
        <v>4508010</v>
      </c>
      <c r="E11" s="78">
        <v>1917</v>
      </c>
      <c r="F11" s="78" t="s">
        <v>113</v>
      </c>
      <c r="G11" s="78" t="s">
        <v>114</v>
      </c>
      <c r="H11" s="124">
        <v>25</v>
      </c>
      <c r="I11" s="100">
        <v>12829607</v>
      </c>
      <c r="J11" s="101">
        <v>273.56</v>
      </c>
      <c r="K11" s="398">
        <v>0</v>
      </c>
      <c r="L11" s="100">
        <v>4500752303</v>
      </c>
      <c r="M11" s="100">
        <v>5000002109</v>
      </c>
      <c r="N11" s="50">
        <v>45677</v>
      </c>
      <c r="O11" s="125">
        <v>45681</v>
      </c>
      <c r="P11" s="100"/>
      <c r="Q11" s="101"/>
      <c r="R11" s="398"/>
      <c r="S11" s="100"/>
      <c r="T11" s="46"/>
      <c r="U11" s="50"/>
      <c r="V11" s="125"/>
      <c r="W11" s="102"/>
      <c r="X11" s="126"/>
      <c r="Y11" s="101"/>
      <c r="Z11" s="100"/>
      <c r="AA11" s="100"/>
      <c r="AB11" s="50"/>
      <c r="AC11" s="127"/>
      <c r="AD11" s="52"/>
      <c r="AE11" s="72"/>
      <c r="AF11" s="89"/>
      <c r="AG11" s="90"/>
      <c r="AH11" s="90"/>
      <c r="AI11" s="91"/>
      <c r="AJ11" s="104"/>
      <c r="AK11" s="90"/>
      <c r="AL11" s="72"/>
      <c r="AM11" s="72"/>
      <c r="AN11" s="57"/>
      <c r="AO11" s="57"/>
      <c r="AP11" s="128"/>
      <c r="AQ11" s="56"/>
      <c r="AR11" s="81"/>
      <c r="AS11" s="129"/>
      <c r="AT11" s="72"/>
      <c r="AU11" s="90"/>
      <c r="AV11" s="90"/>
      <c r="AW11" s="86"/>
      <c r="AX11" s="130"/>
      <c r="AY11" s="88"/>
      <c r="AZ11" s="72"/>
      <c r="BA11" s="72"/>
      <c r="BB11" s="57"/>
      <c r="BC11" s="57"/>
      <c r="BD11" s="91"/>
      <c r="BE11" s="92"/>
      <c r="BF11" s="90"/>
      <c r="BG11" s="72"/>
      <c r="BH11" s="89"/>
      <c r="BI11" s="57"/>
      <c r="BJ11" s="57"/>
      <c r="BK11" s="56"/>
      <c r="BL11" s="56"/>
      <c r="BM11" s="88"/>
      <c r="BN11" s="142"/>
      <c r="BO11" s="143"/>
      <c r="BP11" s="57"/>
      <c r="BQ11" s="57"/>
      <c r="BR11" s="95"/>
      <c r="BS11" s="161"/>
      <c r="BT11" s="88"/>
      <c r="BU11" s="72"/>
      <c r="BV11" s="72"/>
      <c r="BW11" s="57"/>
      <c r="BX11" s="57"/>
      <c r="BY11" s="57"/>
      <c r="BZ11" s="97"/>
      <c r="CA11" s="161"/>
      <c r="CB11" s="88"/>
      <c r="CC11" s="72"/>
      <c r="CD11" s="89"/>
      <c r="CE11" s="96"/>
      <c r="CF11" s="90"/>
      <c r="CG11" s="90"/>
      <c r="CH11" s="97"/>
      <c r="CI11" s="161"/>
      <c r="CJ11" s="108"/>
      <c r="CK11" s="72"/>
      <c r="CL11" s="109"/>
      <c r="CM11" s="96"/>
      <c r="CN11" s="90"/>
      <c r="CO11" s="90"/>
      <c r="CP11" s="95"/>
      <c r="CQ11" s="161"/>
    </row>
    <row r="12" spans="1:98" ht="26.25" thickBot="1" x14ac:dyDescent="0.3">
      <c r="A12" s="390" t="s">
        <v>36</v>
      </c>
      <c r="B12" s="391" t="s">
        <v>115</v>
      </c>
      <c r="C12" s="131" t="s">
        <v>107</v>
      </c>
      <c r="D12" s="392">
        <v>4508010</v>
      </c>
      <c r="E12" s="132">
        <v>1917</v>
      </c>
      <c r="F12" s="132" t="s">
        <v>116</v>
      </c>
      <c r="G12" s="132" t="s">
        <v>105</v>
      </c>
      <c r="H12" s="124">
        <v>25</v>
      </c>
      <c r="I12" s="100">
        <v>12828971</v>
      </c>
      <c r="J12" s="101">
        <v>3970.1</v>
      </c>
      <c r="K12" s="398">
        <v>0</v>
      </c>
      <c r="L12" s="100">
        <v>4500752285</v>
      </c>
      <c r="M12" s="133">
        <v>1000225420</v>
      </c>
      <c r="N12" s="50">
        <v>45679</v>
      </c>
      <c r="O12" s="125">
        <v>45679</v>
      </c>
      <c r="P12" s="100">
        <v>12828971</v>
      </c>
      <c r="Q12" s="101">
        <v>3970.1</v>
      </c>
      <c r="R12" s="398">
        <v>0</v>
      </c>
      <c r="S12" s="100">
        <v>4500752285</v>
      </c>
      <c r="T12" s="102">
        <v>1000225839</v>
      </c>
      <c r="U12" s="50"/>
      <c r="V12" s="125"/>
      <c r="W12" s="100"/>
      <c r="X12" s="101"/>
      <c r="Y12" s="101"/>
      <c r="Z12" s="100"/>
      <c r="AA12" s="100"/>
      <c r="AB12" s="50"/>
      <c r="AC12" s="134"/>
      <c r="AD12" s="135"/>
      <c r="AE12" s="136"/>
      <c r="AF12" s="136"/>
      <c r="AG12" s="100"/>
      <c r="AH12" s="137"/>
      <c r="AI12" s="91"/>
      <c r="AJ12" s="104"/>
      <c r="AK12" s="90"/>
      <c r="AL12" s="72"/>
      <c r="AM12" s="72"/>
      <c r="AN12" s="90"/>
      <c r="AO12" s="90"/>
      <c r="AP12" s="128"/>
      <c r="AQ12" s="56"/>
      <c r="AR12" s="90"/>
      <c r="AS12" s="72"/>
      <c r="AT12" s="72"/>
      <c r="AU12" s="90"/>
      <c r="AV12" s="138"/>
      <c r="AW12" s="139"/>
      <c r="AX12" s="140"/>
      <c r="AY12" s="141"/>
      <c r="AZ12" s="142"/>
      <c r="BA12" s="143"/>
      <c r="BB12" s="57"/>
      <c r="BC12" s="103"/>
      <c r="BD12" s="91"/>
      <c r="BE12" s="92"/>
      <c r="BF12" s="141"/>
      <c r="BG12" s="142"/>
      <c r="BH12" s="143"/>
      <c r="BI12" s="57"/>
      <c r="BJ12" s="103"/>
      <c r="BK12" s="56"/>
      <c r="BL12" s="56"/>
      <c r="BM12" s="141"/>
      <c r="BN12" s="118"/>
      <c r="BO12" s="143"/>
      <c r="BP12" s="57"/>
      <c r="BQ12" s="103"/>
      <c r="BR12" s="95"/>
      <c r="BS12" s="161"/>
      <c r="BT12" s="141"/>
      <c r="BU12" s="118"/>
      <c r="BV12" s="143"/>
      <c r="BW12" s="57"/>
      <c r="BX12" s="57"/>
      <c r="BY12" s="103"/>
      <c r="BZ12" s="95"/>
      <c r="CA12" s="161"/>
      <c r="CB12" s="141"/>
      <c r="CC12" s="118"/>
      <c r="CD12" s="143"/>
      <c r="CE12" s="96"/>
      <c r="CF12" s="90"/>
      <c r="CG12" s="103"/>
      <c r="CH12" s="97"/>
      <c r="CI12" s="161"/>
      <c r="CJ12" s="144"/>
      <c r="CK12" s="142"/>
      <c r="CL12" s="145"/>
      <c r="CM12" s="146"/>
      <c r="CN12" s="147"/>
      <c r="CO12" s="138"/>
      <c r="CP12" s="139"/>
      <c r="CQ12" s="161"/>
    </row>
    <row r="13" spans="1:98" s="148" customFormat="1" ht="15.75" thickBot="1" x14ac:dyDescent="0.3">
      <c r="A13" s="148" t="s">
        <v>117</v>
      </c>
    </row>
    <row r="14" spans="1:98" ht="50.25" customHeight="1" thickBot="1" x14ac:dyDescent="0.3">
      <c r="A14" s="149" t="s">
        <v>38</v>
      </c>
      <c r="B14" s="150" t="s">
        <v>37</v>
      </c>
      <c r="C14" s="150" t="s">
        <v>107</v>
      </c>
      <c r="D14" s="151">
        <v>4508001</v>
      </c>
      <c r="E14" s="151"/>
      <c r="F14" s="151" t="s">
        <v>116</v>
      </c>
      <c r="G14" s="151" t="s">
        <v>105</v>
      </c>
      <c r="H14" s="152" t="s">
        <v>118</v>
      </c>
      <c r="I14" s="100">
        <v>12828967</v>
      </c>
      <c r="J14" s="101">
        <v>3370.52</v>
      </c>
      <c r="K14" s="398">
        <v>0</v>
      </c>
      <c r="L14" s="46">
        <v>4500752286</v>
      </c>
      <c r="M14" s="100">
        <v>1000225421</v>
      </c>
      <c r="N14" s="48">
        <v>45680</v>
      </c>
      <c r="O14" s="49">
        <v>45681</v>
      </c>
      <c r="P14" s="100">
        <v>12828967</v>
      </c>
      <c r="Q14" s="101">
        <v>3370.52</v>
      </c>
      <c r="R14" s="398">
        <v>0</v>
      </c>
      <c r="S14" s="100">
        <v>4500752286</v>
      </c>
      <c r="T14" s="102">
        <v>1000225902</v>
      </c>
      <c r="U14" s="50"/>
      <c r="V14" s="125"/>
      <c r="W14" s="100"/>
      <c r="X14" s="47"/>
      <c r="Y14" s="153"/>
      <c r="Z14" s="46"/>
      <c r="AA14" s="100"/>
      <c r="AB14" s="48"/>
      <c r="AC14" s="154"/>
      <c r="AD14" s="155"/>
      <c r="AE14" s="85"/>
      <c r="AF14" s="85"/>
      <c r="AG14" s="54"/>
      <c r="AH14" s="137"/>
      <c r="AI14" s="91"/>
      <c r="AJ14" s="104"/>
      <c r="AK14" s="90"/>
      <c r="AL14" s="58"/>
      <c r="AM14" s="58"/>
      <c r="AN14" s="57"/>
      <c r="AO14" s="90"/>
      <c r="AP14" s="104"/>
      <c r="AQ14" s="56"/>
      <c r="AR14" s="90"/>
      <c r="AS14" s="58"/>
      <c r="AT14" s="58"/>
      <c r="AU14" s="57"/>
      <c r="AV14" s="156"/>
      <c r="AW14" s="55"/>
      <c r="AX14" s="63"/>
      <c r="AY14" s="69"/>
      <c r="AZ14" s="53"/>
      <c r="BA14" s="89"/>
      <c r="BB14" s="57"/>
      <c r="BC14" s="103"/>
      <c r="BD14" s="91"/>
      <c r="BE14" s="92"/>
      <c r="BF14" s="90"/>
      <c r="BG14" s="393"/>
      <c r="BH14" s="89"/>
      <c r="BI14" s="57"/>
      <c r="BJ14" s="103"/>
      <c r="BK14" s="56"/>
      <c r="BL14" s="56"/>
      <c r="BM14" s="141"/>
      <c r="BN14" s="142"/>
      <c r="BO14" s="143"/>
      <c r="BP14" s="57"/>
      <c r="BQ14" s="103"/>
      <c r="BR14" s="56"/>
      <c r="BS14" s="161"/>
      <c r="BT14" s="141"/>
      <c r="BU14" s="142"/>
      <c r="BV14" s="143"/>
      <c r="BW14" s="57"/>
      <c r="BX14" s="57"/>
      <c r="BY14" s="103"/>
      <c r="BZ14" s="95"/>
      <c r="CA14" s="161"/>
      <c r="CB14" s="141"/>
      <c r="CC14" s="89"/>
      <c r="CD14" s="89"/>
      <c r="CE14" s="74"/>
      <c r="CF14" s="66"/>
      <c r="CG14" s="103"/>
      <c r="CH14" s="75"/>
      <c r="CI14" s="161"/>
      <c r="CJ14" s="69"/>
      <c r="CK14" s="65"/>
      <c r="CL14" s="89"/>
      <c r="CM14" s="96"/>
      <c r="CN14" s="54"/>
      <c r="CO14" s="156"/>
      <c r="CP14" s="91"/>
      <c r="CQ14" s="161"/>
    </row>
    <row r="15" spans="1:98" ht="54" customHeight="1" x14ac:dyDescent="0.25">
      <c r="A15" s="157" t="s">
        <v>39</v>
      </c>
      <c r="B15" s="3" t="s">
        <v>37</v>
      </c>
      <c r="C15" s="3" t="s">
        <v>107</v>
      </c>
      <c r="D15" s="78">
        <v>4508001</v>
      </c>
      <c r="E15" s="78" t="s">
        <v>119</v>
      </c>
      <c r="F15" s="78" t="s">
        <v>116</v>
      </c>
      <c r="G15" s="78" t="s">
        <v>105</v>
      </c>
      <c r="H15" s="158" t="s">
        <v>118</v>
      </c>
      <c r="I15" s="100">
        <v>12828376</v>
      </c>
      <c r="J15" s="101">
        <v>28229.3</v>
      </c>
      <c r="K15" s="398">
        <v>0</v>
      </c>
      <c r="L15" s="100">
        <v>4500751316</v>
      </c>
      <c r="M15" s="133">
        <v>1000224852</v>
      </c>
      <c r="N15" s="50">
        <v>45667</v>
      </c>
      <c r="O15" s="125">
        <v>45684</v>
      </c>
      <c r="P15" s="100">
        <v>12828376</v>
      </c>
      <c r="Q15" s="101">
        <v>28229.3</v>
      </c>
      <c r="R15" s="398">
        <v>0</v>
      </c>
      <c r="S15" s="100">
        <v>4500751316</v>
      </c>
      <c r="T15" s="102">
        <v>1000225904</v>
      </c>
      <c r="U15" s="50"/>
      <c r="V15" s="125"/>
      <c r="W15" s="100"/>
      <c r="X15" s="47"/>
      <c r="Y15" s="101"/>
      <c r="Z15" s="100"/>
      <c r="AA15" s="100"/>
      <c r="AB15" s="48"/>
      <c r="AC15" s="159"/>
      <c r="AD15" s="52"/>
      <c r="AE15" s="160"/>
      <c r="AF15" s="85"/>
      <c r="AG15" s="90"/>
      <c r="AH15" s="137"/>
      <c r="AI15" s="91"/>
      <c r="AJ15" s="128"/>
      <c r="AK15" s="57"/>
      <c r="AL15" s="58"/>
      <c r="AM15" s="58"/>
      <c r="AN15" s="57"/>
      <c r="AO15" s="90"/>
      <c r="AP15" s="104"/>
      <c r="AQ15" s="56"/>
      <c r="AR15" s="81"/>
      <c r="AS15" s="58"/>
      <c r="AT15" s="58"/>
      <c r="AU15" s="57"/>
      <c r="AV15" s="103"/>
      <c r="AW15" s="55"/>
      <c r="AX15" s="63"/>
      <c r="AY15" s="98"/>
      <c r="AZ15" s="72"/>
      <c r="BA15" s="72"/>
      <c r="BB15" s="57"/>
      <c r="BC15" s="103"/>
      <c r="BD15" s="91"/>
      <c r="BE15" s="92"/>
      <c r="BF15" s="90"/>
      <c r="BG15" s="118"/>
      <c r="BH15" s="89"/>
      <c r="BI15" s="57"/>
      <c r="BJ15" s="103"/>
      <c r="BK15" s="56"/>
      <c r="BL15" s="56"/>
      <c r="BM15" s="90"/>
      <c r="BN15" s="118"/>
      <c r="BO15" s="89"/>
      <c r="BP15" s="57"/>
      <c r="BQ15" s="103"/>
      <c r="BR15" s="56"/>
      <c r="BS15" s="161"/>
      <c r="BT15" s="90"/>
      <c r="BU15" s="118"/>
      <c r="BV15" s="89"/>
      <c r="BW15" s="57"/>
      <c r="BX15" s="57"/>
      <c r="BY15" s="103"/>
      <c r="BZ15" s="95"/>
      <c r="CA15" s="161"/>
      <c r="CB15" s="90"/>
      <c r="CC15" s="118"/>
      <c r="CD15" s="89"/>
      <c r="CE15" s="96"/>
      <c r="CF15" s="90"/>
      <c r="CG15" s="103"/>
      <c r="CH15" s="97"/>
      <c r="CI15" s="161"/>
      <c r="CJ15" s="108"/>
      <c r="CK15" s="72"/>
      <c r="CL15" s="72"/>
      <c r="CM15" s="96"/>
      <c r="CN15" s="90"/>
      <c r="CO15" s="137"/>
      <c r="CP15" s="91"/>
      <c r="CQ15" s="161"/>
    </row>
    <row r="16" spans="1:98" ht="24.75" customHeight="1" thickBot="1" x14ac:dyDescent="0.3">
      <c r="A16" s="162" t="s">
        <v>120</v>
      </c>
      <c r="B16" s="131" t="s">
        <v>40</v>
      </c>
      <c r="C16" s="131" t="s">
        <v>103</v>
      </c>
      <c r="D16" s="132">
        <v>4508001</v>
      </c>
      <c r="E16" s="132" t="s">
        <v>119</v>
      </c>
      <c r="F16" s="132"/>
      <c r="G16" s="132"/>
      <c r="H16" s="163"/>
      <c r="I16" s="164">
        <v>12828952</v>
      </c>
      <c r="J16" s="101">
        <v>1043.6199999999999</v>
      </c>
      <c r="K16" s="398">
        <v>0</v>
      </c>
      <c r="L16" s="164">
        <v>4500752200</v>
      </c>
      <c r="M16" s="394">
        <v>1000225193</v>
      </c>
      <c r="N16" s="166">
        <v>45674</v>
      </c>
      <c r="O16" s="167">
        <v>45684</v>
      </c>
      <c r="P16" s="100"/>
      <c r="Q16" s="101"/>
      <c r="R16" s="398"/>
      <c r="S16" s="100"/>
      <c r="T16" s="102"/>
      <c r="U16" s="50"/>
      <c r="V16" s="125"/>
      <c r="W16" s="164"/>
      <c r="X16" s="165"/>
      <c r="Y16" s="165"/>
      <c r="Z16" s="164"/>
      <c r="AA16" s="168"/>
      <c r="AB16" s="166"/>
      <c r="AC16" s="169"/>
      <c r="AD16" s="170"/>
      <c r="AE16" s="171"/>
      <c r="AF16" s="172"/>
      <c r="AG16" s="173"/>
      <c r="AH16" s="174"/>
      <c r="AI16" s="175"/>
      <c r="AJ16" s="56"/>
      <c r="AK16" s="170"/>
      <c r="AL16" s="176"/>
      <c r="AM16" s="172"/>
      <c r="AN16" s="57"/>
      <c r="AO16" s="90"/>
      <c r="AP16" s="104"/>
      <c r="AQ16" s="56"/>
      <c r="AR16" s="395"/>
      <c r="AS16" s="396"/>
      <c r="AT16" s="72"/>
      <c r="AU16" s="57"/>
      <c r="AV16" s="177"/>
      <c r="AW16" s="175"/>
      <c r="AX16" s="178"/>
      <c r="AY16" s="179"/>
      <c r="AZ16" s="118"/>
      <c r="BA16" s="180"/>
      <c r="BB16" s="116"/>
      <c r="BC16" s="177"/>
      <c r="BD16" s="91"/>
      <c r="BE16" s="92"/>
      <c r="BF16" s="90"/>
      <c r="BG16" s="118"/>
      <c r="BH16" s="180"/>
      <c r="BI16" s="116"/>
      <c r="BJ16" s="103"/>
      <c r="BK16" s="56"/>
      <c r="BL16" s="56"/>
      <c r="BM16" s="90"/>
      <c r="BN16" s="118"/>
      <c r="BO16" s="180"/>
      <c r="BP16" s="116"/>
      <c r="BQ16" s="103"/>
      <c r="BR16" s="95"/>
      <c r="BS16" s="161"/>
      <c r="BT16" s="90"/>
      <c r="BU16" s="118"/>
      <c r="BV16" s="180"/>
      <c r="BW16" s="116"/>
      <c r="BX16" s="116"/>
      <c r="BY16" s="103"/>
      <c r="BZ16" s="95"/>
      <c r="CA16" s="161"/>
      <c r="CB16" s="90"/>
      <c r="CC16" s="118"/>
      <c r="CD16" s="89"/>
      <c r="CE16" s="96"/>
      <c r="CF16" s="90"/>
      <c r="CG16" s="103"/>
      <c r="CH16" s="97"/>
      <c r="CI16" s="161"/>
      <c r="CJ16" s="121"/>
      <c r="CK16" s="180"/>
      <c r="CL16" s="180"/>
      <c r="CM16" s="181"/>
      <c r="CN16" s="182"/>
      <c r="CO16" s="183"/>
      <c r="CP16" s="184"/>
      <c r="CQ16" s="161"/>
    </row>
    <row r="17" spans="1:95" s="185" customFormat="1" ht="54" customHeight="1" x14ac:dyDescent="0.25">
      <c r="A17" s="185" t="s">
        <v>121</v>
      </c>
      <c r="B17" s="185" t="s">
        <v>122</v>
      </c>
      <c r="C17" s="185" t="s">
        <v>107</v>
      </c>
      <c r="D17" s="185">
        <v>4508001</v>
      </c>
      <c r="E17" s="185" t="s">
        <v>119</v>
      </c>
      <c r="F17" s="185" t="s">
        <v>123</v>
      </c>
      <c r="G17" s="185" t="s">
        <v>114</v>
      </c>
      <c r="H17" s="561">
        <v>15</v>
      </c>
      <c r="I17" s="560">
        <v>12828919</v>
      </c>
      <c r="J17" s="101">
        <v>1025.6500000000001</v>
      </c>
      <c r="K17" s="398">
        <v>22.21</v>
      </c>
      <c r="L17" s="100" t="s">
        <v>124</v>
      </c>
      <c r="M17" s="399" t="s">
        <v>125</v>
      </c>
      <c r="N17" s="50">
        <v>45677</v>
      </c>
      <c r="O17" s="125">
        <v>45679</v>
      </c>
      <c r="P17" s="100"/>
      <c r="Q17" s="101"/>
      <c r="R17" s="398"/>
      <c r="S17" s="100"/>
      <c r="T17" s="46"/>
      <c r="U17" s="50"/>
      <c r="V17" s="125"/>
      <c r="W17" s="100"/>
      <c r="X17" s="101"/>
      <c r="Y17" s="101"/>
      <c r="Z17" s="100"/>
      <c r="AA17" s="100"/>
      <c r="AB17" s="50"/>
      <c r="AC17" s="198"/>
      <c r="AD17" s="100"/>
      <c r="AE17" s="72"/>
      <c r="AF17" s="72"/>
      <c r="AG17" s="90"/>
      <c r="AH17" s="90"/>
      <c r="AI17" s="95"/>
      <c r="AJ17" s="128"/>
      <c r="AK17" s="57"/>
      <c r="AL17" s="129"/>
      <c r="AM17" s="129"/>
      <c r="AN17" s="57"/>
      <c r="AO17" s="56"/>
      <c r="AP17" s="104"/>
      <c r="AQ17" s="56"/>
      <c r="AR17" s="400"/>
      <c r="AS17" s="58"/>
      <c r="AT17" s="58"/>
      <c r="AU17" s="58"/>
      <c r="AV17" s="58"/>
      <c r="AW17" s="55"/>
      <c r="AX17" s="87"/>
      <c r="AY17" s="334"/>
      <c r="AZ17" s="118"/>
      <c r="BA17" s="114"/>
      <c r="BB17" s="57"/>
      <c r="BC17" s="57"/>
      <c r="BD17" s="91"/>
      <c r="BE17" s="92"/>
      <c r="BF17" s="90"/>
      <c r="BG17" s="118"/>
      <c r="BH17" s="72"/>
      <c r="BI17" s="57"/>
      <c r="BJ17" s="57"/>
      <c r="BK17" s="56"/>
      <c r="BL17" s="56"/>
      <c r="BM17" s="90"/>
      <c r="BN17" s="118"/>
      <c r="BO17" s="72"/>
      <c r="BP17" s="57"/>
      <c r="BQ17" s="57"/>
      <c r="BR17" s="56"/>
      <c r="BS17" s="161"/>
      <c r="BT17" s="90"/>
      <c r="BU17" s="72"/>
      <c r="BV17" s="72"/>
      <c r="BW17" s="57"/>
      <c r="BX17" s="57"/>
      <c r="BY17" s="57"/>
      <c r="BZ17" s="95"/>
      <c r="CA17" s="161"/>
      <c r="CB17" s="88"/>
      <c r="CC17" s="72"/>
      <c r="CD17" s="89"/>
      <c r="CE17" s="96"/>
      <c r="CF17" s="90"/>
      <c r="CG17" s="90"/>
      <c r="CH17" s="97"/>
      <c r="CI17" s="161"/>
      <c r="CJ17" s="90"/>
      <c r="CK17" s="72"/>
      <c r="CL17" s="72"/>
      <c r="CM17" s="90"/>
      <c r="CN17" s="90"/>
      <c r="CO17" s="90"/>
      <c r="CP17" s="128"/>
      <c r="CQ17" s="161"/>
    </row>
    <row r="18" spans="1:95" ht="34.5" customHeight="1" x14ac:dyDescent="0.25">
      <c r="A18" s="187" t="s">
        <v>126</v>
      </c>
      <c r="B18" s="188" t="s">
        <v>122</v>
      </c>
      <c r="C18" s="150" t="s">
        <v>107</v>
      </c>
      <c r="D18" s="189">
        <v>4508001</v>
      </c>
      <c r="E18" s="189"/>
      <c r="F18" s="189" t="s">
        <v>123</v>
      </c>
      <c r="G18" s="190" t="s">
        <v>114</v>
      </c>
      <c r="H18" s="561">
        <v>15</v>
      </c>
      <c r="I18" s="560">
        <v>12828920</v>
      </c>
      <c r="J18" s="101">
        <v>26.8</v>
      </c>
      <c r="K18" s="398">
        <v>0</v>
      </c>
      <c r="L18" s="100">
        <v>4500752527</v>
      </c>
      <c r="M18" s="399">
        <v>5000002154</v>
      </c>
      <c r="N18" s="50">
        <v>45679</v>
      </c>
      <c r="O18" s="125">
        <v>45679</v>
      </c>
      <c r="P18" s="100"/>
      <c r="Q18" s="101"/>
      <c r="R18" s="398"/>
      <c r="S18" s="100"/>
      <c r="T18" s="46"/>
      <c r="U18" s="50"/>
      <c r="V18" s="125"/>
      <c r="W18" s="100"/>
      <c r="X18" s="101"/>
      <c r="Y18" s="101"/>
      <c r="Z18" s="100"/>
      <c r="AA18" s="100"/>
      <c r="AB18" s="50"/>
      <c r="AC18" s="198"/>
      <c r="AD18" s="100"/>
      <c r="AE18" s="72"/>
      <c r="AF18" s="72"/>
      <c r="AG18" s="90"/>
      <c r="AH18" s="90"/>
      <c r="AI18" s="95"/>
      <c r="AJ18" s="128"/>
      <c r="AK18" s="90"/>
      <c r="AL18" s="72"/>
      <c r="AM18" s="72"/>
      <c r="AN18" s="57"/>
      <c r="AO18" s="57"/>
      <c r="AP18" s="128"/>
      <c r="AQ18" s="186"/>
      <c r="AR18" s="193"/>
      <c r="AS18" s="85"/>
      <c r="AT18" s="85"/>
      <c r="AU18" s="192"/>
      <c r="AV18" s="192"/>
      <c r="AW18" s="86"/>
      <c r="AX18" s="87"/>
      <c r="AY18" s="334"/>
      <c r="AZ18" s="118"/>
      <c r="BA18" s="114"/>
      <c r="BB18" s="401"/>
      <c r="BC18" s="401"/>
      <c r="BD18" s="91"/>
      <c r="BE18" s="402"/>
      <c r="BF18" s="90"/>
      <c r="BG18" s="118"/>
      <c r="BH18" s="89"/>
      <c r="BI18" s="192"/>
      <c r="BJ18" s="192"/>
      <c r="BK18" s="56"/>
      <c r="BL18" s="56"/>
      <c r="BM18" s="90"/>
      <c r="BN18" s="118"/>
      <c r="BO18" s="72"/>
      <c r="BP18" s="57"/>
      <c r="BQ18" s="57"/>
      <c r="BR18" s="56"/>
      <c r="BS18" s="161"/>
      <c r="BT18" s="98"/>
      <c r="BU18" s="89"/>
      <c r="BV18" s="72"/>
      <c r="BW18" s="195"/>
      <c r="BX18" s="57"/>
      <c r="BY18" s="57"/>
      <c r="BZ18" s="403"/>
      <c r="CA18" s="161"/>
      <c r="CB18" s="88"/>
      <c r="CC18" s="72"/>
      <c r="CD18" s="89"/>
      <c r="CE18" s="96"/>
      <c r="CF18" s="90"/>
      <c r="CG18" s="90"/>
      <c r="CH18" s="97"/>
      <c r="CI18" s="161"/>
      <c r="CJ18" s="194"/>
      <c r="CK18" s="89"/>
      <c r="CL18" s="89"/>
      <c r="CM18" s="195"/>
      <c r="CN18" s="99"/>
      <c r="CO18" s="99"/>
      <c r="CP18" s="91"/>
      <c r="CQ18" s="161"/>
    </row>
    <row r="19" spans="1:95" ht="21.75" customHeight="1" x14ac:dyDescent="0.25">
      <c r="A19" s="77" t="s">
        <v>127</v>
      </c>
      <c r="B19" s="3" t="s">
        <v>122</v>
      </c>
      <c r="C19" s="3" t="s">
        <v>103</v>
      </c>
      <c r="D19" s="78">
        <v>4508001</v>
      </c>
      <c r="E19" s="78"/>
      <c r="F19" s="196" t="s">
        <v>123</v>
      </c>
      <c r="G19" s="197" t="s">
        <v>114</v>
      </c>
      <c r="H19" s="561">
        <v>15</v>
      </c>
      <c r="I19" s="560">
        <v>12828917</v>
      </c>
      <c r="J19" s="101">
        <v>219.51</v>
      </c>
      <c r="K19" s="398">
        <v>9.77</v>
      </c>
      <c r="L19" s="100">
        <v>4500751748</v>
      </c>
      <c r="M19" s="399" t="s">
        <v>128</v>
      </c>
      <c r="N19" s="50">
        <v>45671</v>
      </c>
      <c r="O19" s="125">
        <v>45671</v>
      </c>
      <c r="P19" s="100"/>
      <c r="Q19" s="101"/>
      <c r="R19" s="398"/>
      <c r="S19" s="100"/>
      <c r="T19" s="46"/>
      <c r="U19" s="50"/>
      <c r="V19" s="125"/>
      <c r="W19" s="100"/>
      <c r="X19" s="101"/>
      <c r="Y19" s="101"/>
      <c r="Z19" s="100"/>
      <c r="AA19" s="100"/>
      <c r="AB19" s="50"/>
      <c r="AC19" s="198"/>
      <c r="AD19" s="52"/>
      <c r="AE19" s="72"/>
      <c r="AF19" s="72"/>
      <c r="AG19" s="90"/>
      <c r="AH19" s="90"/>
      <c r="AI19" s="95"/>
      <c r="AJ19" s="128"/>
      <c r="AK19" s="57"/>
      <c r="AL19" s="58"/>
      <c r="AM19" s="58"/>
      <c r="AN19" s="57"/>
      <c r="AO19" s="57"/>
      <c r="AP19" s="104"/>
      <c r="AQ19" s="56"/>
      <c r="AR19" s="81"/>
      <c r="AS19" s="58"/>
      <c r="AT19" s="58"/>
      <c r="AU19" s="57"/>
      <c r="AV19" s="57"/>
      <c r="AW19" s="86"/>
      <c r="AX19" s="87"/>
      <c r="AY19" s="88"/>
      <c r="AZ19" s="72"/>
      <c r="BA19" s="72"/>
      <c r="BB19" s="90"/>
      <c r="BC19" s="90"/>
      <c r="BD19" s="91"/>
      <c r="BE19" s="186"/>
      <c r="BF19" s="108"/>
      <c r="BG19" s="72"/>
      <c r="BH19" s="72"/>
      <c r="BI19" s="90"/>
      <c r="BJ19" s="90"/>
      <c r="BK19" s="56"/>
      <c r="BL19" s="56"/>
      <c r="BM19" s="88"/>
      <c r="BN19" s="118"/>
      <c r="BO19" s="72"/>
      <c r="BP19" s="90"/>
      <c r="BQ19" s="192"/>
      <c r="BR19" s="91"/>
      <c r="BS19" s="161"/>
      <c r="BT19" s="88"/>
      <c r="BU19" s="72"/>
      <c r="BV19" s="72"/>
      <c r="BW19" s="96"/>
      <c r="BX19" s="90"/>
      <c r="BY19" s="90"/>
      <c r="BZ19" s="91"/>
      <c r="CA19" s="161"/>
      <c r="CB19" s="88"/>
      <c r="CC19" s="72"/>
      <c r="CD19" s="89"/>
      <c r="CE19" s="96"/>
      <c r="CF19" s="90"/>
      <c r="CG19" s="90"/>
      <c r="CH19" s="97"/>
      <c r="CI19" s="161"/>
      <c r="CJ19" s="108"/>
      <c r="CK19" s="72"/>
      <c r="CL19" s="72"/>
      <c r="CM19" s="96"/>
      <c r="CN19" s="90"/>
      <c r="CO19" s="90"/>
      <c r="CP19" s="91"/>
      <c r="CQ19" s="161"/>
    </row>
    <row r="20" spans="1:95" ht="44.25" customHeight="1" x14ac:dyDescent="0.25">
      <c r="A20" s="123" t="s">
        <v>129</v>
      </c>
      <c r="B20" s="2" t="s">
        <v>122</v>
      </c>
      <c r="C20" s="3" t="s">
        <v>107</v>
      </c>
      <c r="D20" s="196">
        <v>4508001</v>
      </c>
      <c r="E20" s="196" t="s">
        <v>130</v>
      </c>
      <c r="F20" s="196" t="s">
        <v>131</v>
      </c>
      <c r="G20" s="197" t="s">
        <v>114</v>
      </c>
      <c r="H20" s="124">
        <v>24</v>
      </c>
      <c r="I20" s="100">
        <v>12829608</v>
      </c>
      <c r="J20" s="101">
        <v>16561.11</v>
      </c>
      <c r="K20" s="398">
        <v>454.84</v>
      </c>
      <c r="L20" s="100" t="s">
        <v>483</v>
      </c>
      <c r="M20" s="399" t="s">
        <v>133</v>
      </c>
      <c r="N20" s="50">
        <v>45677</v>
      </c>
      <c r="O20" s="125">
        <v>45681</v>
      </c>
      <c r="P20" s="100"/>
      <c r="Q20" s="101"/>
      <c r="R20" s="398"/>
      <c r="S20" s="100"/>
      <c r="T20" s="46"/>
      <c r="U20" s="50"/>
      <c r="V20" s="125"/>
      <c r="W20" s="100"/>
      <c r="X20" s="101"/>
      <c r="Y20" s="101"/>
      <c r="Z20" s="100"/>
      <c r="AA20" s="100"/>
      <c r="AB20" s="50"/>
      <c r="AC20" s="198"/>
      <c r="AD20" s="52"/>
      <c r="AE20" s="72"/>
      <c r="AF20" s="72"/>
      <c r="AG20" s="90"/>
      <c r="AH20" s="90"/>
      <c r="AI20" s="95"/>
      <c r="AJ20" s="128"/>
      <c r="AK20" s="90"/>
      <c r="AL20" s="72"/>
      <c r="AM20" s="72"/>
      <c r="AN20" s="57"/>
      <c r="AO20" s="57"/>
      <c r="AP20" s="128"/>
      <c r="AQ20" s="186"/>
      <c r="AR20" s="108"/>
      <c r="AS20" s="72"/>
      <c r="AT20" s="72"/>
      <c r="AU20" s="90"/>
      <c r="AV20" s="90"/>
      <c r="AW20" s="186"/>
      <c r="AX20" s="56"/>
      <c r="AY20" s="90"/>
      <c r="AZ20" s="72"/>
      <c r="BA20" s="72"/>
      <c r="BB20" s="90"/>
      <c r="BC20" s="90"/>
      <c r="BD20" s="128"/>
      <c r="BE20" s="186"/>
      <c r="BF20" s="90"/>
      <c r="BG20" s="72"/>
      <c r="BH20" s="72"/>
      <c r="BI20" s="90"/>
      <c r="BJ20" s="57"/>
      <c r="BK20" s="56"/>
      <c r="BL20" s="56"/>
      <c r="BM20" s="90"/>
      <c r="BN20" s="72"/>
      <c r="BO20" s="72"/>
      <c r="BP20" s="90"/>
      <c r="BQ20" s="90"/>
      <c r="BR20" s="128"/>
      <c r="BS20" s="161"/>
      <c r="BT20" s="90"/>
      <c r="BU20" s="72"/>
      <c r="BV20" s="72"/>
      <c r="BW20" s="96"/>
      <c r="BX20" s="90"/>
      <c r="BY20" s="90"/>
      <c r="BZ20" s="128"/>
      <c r="CA20" s="161"/>
      <c r="CB20" s="88"/>
      <c r="CC20" s="72"/>
      <c r="CD20" s="89"/>
      <c r="CE20" s="96"/>
      <c r="CF20" s="90"/>
      <c r="CG20" s="90"/>
      <c r="CH20" s="97"/>
      <c r="CI20" s="161"/>
      <c r="CJ20" s="108"/>
      <c r="CK20" s="72"/>
      <c r="CL20" s="72"/>
      <c r="CM20" s="96"/>
      <c r="CN20" s="90"/>
      <c r="CO20" s="90"/>
      <c r="CP20" s="128"/>
      <c r="CQ20" s="161"/>
    </row>
    <row r="21" spans="1:95" ht="30" customHeight="1" x14ac:dyDescent="0.25">
      <c r="A21" s="123" t="s">
        <v>134</v>
      </c>
      <c r="B21" s="2" t="s">
        <v>122</v>
      </c>
      <c r="C21" s="131" t="s">
        <v>103</v>
      </c>
      <c r="D21" s="196">
        <v>4508001</v>
      </c>
      <c r="E21" s="552"/>
      <c r="F21" s="552" t="s">
        <v>123</v>
      </c>
      <c r="G21" s="197" t="s">
        <v>114</v>
      </c>
      <c r="H21" s="124">
        <v>15</v>
      </c>
      <c r="I21" s="100">
        <v>12828375</v>
      </c>
      <c r="J21" s="101">
        <v>1582.15</v>
      </c>
      <c r="K21" s="398">
        <v>76.42</v>
      </c>
      <c r="L21" s="100">
        <v>4500752341</v>
      </c>
      <c r="M21" s="399">
        <v>5000002163</v>
      </c>
      <c r="N21" s="50">
        <v>45677</v>
      </c>
      <c r="O21" s="125">
        <v>45677</v>
      </c>
      <c r="P21" s="100">
        <v>12830578</v>
      </c>
      <c r="Q21" s="101">
        <v>1510.88</v>
      </c>
      <c r="R21" s="398">
        <v>0</v>
      </c>
      <c r="S21" s="100"/>
      <c r="T21" s="46"/>
      <c r="U21" s="50"/>
      <c r="V21" s="125"/>
      <c r="W21" s="100"/>
      <c r="X21" s="101"/>
      <c r="Y21" s="101"/>
      <c r="Z21" s="100"/>
      <c r="AA21" s="100"/>
      <c r="AB21" s="50"/>
      <c r="AC21" s="198"/>
      <c r="AD21" s="100"/>
      <c r="AE21" s="72"/>
      <c r="AF21" s="72"/>
      <c r="AG21" s="90"/>
      <c r="AH21" s="90"/>
      <c r="AI21" s="95"/>
      <c r="AJ21" s="128"/>
      <c r="AK21" s="90"/>
      <c r="AL21" s="72"/>
      <c r="AM21" s="72"/>
      <c r="AN21" s="57"/>
      <c r="AO21" s="57"/>
      <c r="AP21" s="128"/>
      <c r="AQ21" s="186"/>
      <c r="AR21" s="199"/>
      <c r="AS21" s="172"/>
      <c r="AT21" s="172"/>
      <c r="AU21" s="173"/>
      <c r="AV21" s="173"/>
      <c r="AW21" s="104"/>
      <c r="AX21" s="56"/>
      <c r="AY21" s="90"/>
      <c r="AZ21" s="72"/>
      <c r="BA21" s="72"/>
      <c r="BB21" s="90"/>
      <c r="BC21" s="90"/>
      <c r="BD21" s="128"/>
      <c r="BE21" s="186"/>
      <c r="BF21" s="90"/>
      <c r="BG21" s="72"/>
      <c r="BH21" s="72"/>
      <c r="BI21" s="90"/>
      <c r="BJ21" s="90"/>
      <c r="BK21" s="56"/>
      <c r="BL21" s="56"/>
      <c r="BM21" s="90"/>
      <c r="BN21" s="72"/>
      <c r="BO21" s="72"/>
      <c r="BP21" s="90"/>
      <c r="BQ21" s="90"/>
      <c r="BR21" s="128"/>
      <c r="BS21" s="161"/>
      <c r="BT21" s="90"/>
      <c r="BU21" s="72"/>
      <c r="BV21" s="72"/>
      <c r="BW21" s="96"/>
      <c r="BX21" s="90"/>
      <c r="BY21" s="90"/>
      <c r="BZ21" s="128"/>
      <c r="CA21" s="161"/>
      <c r="CB21" s="88"/>
      <c r="CC21" s="72"/>
      <c r="CD21" s="89"/>
      <c r="CE21" s="96"/>
      <c r="CF21" s="90"/>
      <c r="CG21" s="90"/>
      <c r="CH21" s="97"/>
      <c r="CI21" s="161"/>
      <c r="CJ21" s="108"/>
      <c r="CK21" s="72"/>
      <c r="CL21" s="72"/>
      <c r="CM21" s="96"/>
      <c r="CN21" s="90"/>
      <c r="CO21" s="90"/>
      <c r="CP21" s="128"/>
      <c r="CQ21" s="161"/>
    </row>
    <row r="22" spans="1:95" s="115" customFormat="1" ht="23.25" customHeight="1" x14ac:dyDescent="0.25">
      <c r="A22" s="688" t="s">
        <v>135</v>
      </c>
      <c r="B22" s="689" t="s">
        <v>44</v>
      </c>
      <c r="C22" s="200" t="s">
        <v>107</v>
      </c>
      <c r="D22" s="404">
        <v>4508001</v>
      </c>
      <c r="E22" s="554"/>
      <c r="F22" s="200"/>
      <c r="H22" s="404" t="s">
        <v>136</v>
      </c>
      <c r="I22" s="100">
        <v>12828968</v>
      </c>
      <c r="J22" s="101">
        <v>1837.22</v>
      </c>
      <c r="K22" s="398">
        <v>0</v>
      </c>
      <c r="L22" s="100">
        <v>4500752456</v>
      </c>
      <c r="M22" s="399">
        <v>5000003027</v>
      </c>
      <c r="N22" s="50">
        <v>45677</v>
      </c>
      <c r="O22" s="125">
        <v>45688</v>
      </c>
      <c r="P22" s="100"/>
      <c r="Q22" s="101"/>
      <c r="R22" s="398"/>
      <c r="S22" s="100"/>
      <c r="T22" s="46"/>
      <c r="U22" s="50"/>
      <c r="V22" s="125"/>
      <c r="W22" s="100"/>
      <c r="X22" s="101"/>
      <c r="Y22" s="101"/>
      <c r="Z22" s="100"/>
      <c r="AA22" s="100"/>
      <c r="AB22" s="50"/>
      <c r="AC22" s="198"/>
      <c r="AD22" s="100"/>
      <c r="AE22" s="72"/>
      <c r="AF22" s="72"/>
      <c r="AG22" s="90"/>
      <c r="AH22" s="90"/>
      <c r="AI22" s="95"/>
      <c r="AJ22" s="128"/>
      <c r="AK22" s="405"/>
      <c r="AL22" s="114"/>
      <c r="AM22" s="114"/>
      <c r="AN22" s="405"/>
      <c r="AO22" s="405"/>
      <c r="AP22" s="406"/>
      <c r="AQ22" s="407"/>
      <c r="AR22" s="408"/>
      <c r="AS22" s="114"/>
      <c r="AT22" s="114"/>
      <c r="AU22" s="405"/>
      <c r="AV22" s="405"/>
      <c r="AW22" s="407"/>
      <c r="AX22" s="407"/>
      <c r="AY22" s="405"/>
      <c r="AZ22" s="114"/>
      <c r="BA22" s="114"/>
      <c r="BB22" s="90"/>
      <c r="BC22" s="90"/>
      <c r="BD22" s="128"/>
      <c r="BE22" s="407"/>
      <c r="BF22" s="90"/>
      <c r="BG22" s="72"/>
      <c r="BH22" s="72"/>
      <c r="BI22" s="90"/>
      <c r="BJ22" s="90"/>
      <c r="BK22" s="56"/>
      <c r="BL22" s="56"/>
      <c r="BM22" s="405"/>
      <c r="BN22" s="72"/>
      <c r="BO22" s="72"/>
      <c r="BP22" s="90"/>
      <c r="BQ22" s="90"/>
      <c r="BR22" s="128"/>
      <c r="BS22" s="161"/>
      <c r="BT22" s="90"/>
      <c r="BU22" s="72"/>
      <c r="BV22" s="72"/>
      <c r="BW22" s="90"/>
      <c r="BX22" s="90"/>
      <c r="BY22" s="90"/>
      <c r="BZ22" s="95"/>
      <c r="CA22" s="161"/>
      <c r="CB22" s="88"/>
      <c r="CC22" s="72"/>
      <c r="CD22" s="89"/>
      <c r="CE22" s="96"/>
      <c r="CF22" s="90"/>
      <c r="CG22" s="90"/>
      <c r="CH22" s="97"/>
      <c r="CI22" s="161"/>
      <c r="CQ22" s="161"/>
    </row>
    <row r="23" spans="1:95" x14ac:dyDescent="0.25">
      <c r="A23" s="686" t="s">
        <v>137</v>
      </c>
      <c r="B23" s="687" t="s">
        <v>44</v>
      </c>
      <c r="C23" s="150" t="s">
        <v>107</v>
      </c>
      <c r="D23" s="202">
        <v>4508001</v>
      </c>
      <c r="E23" s="553"/>
      <c r="F23" s="553"/>
      <c r="G23" s="202"/>
      <c r="H23" s="124" t="s">
        <v>136</v>
      </c>
      <c r="I23" s="100">
        <v>12828675</v>
      </c>
      <c r="J23" s="101">
        <v>1817.29</v>
      </c>
      <c r="K23" s="398">
        <v>0</v>
      </c>
      <c r="L23" s="100" t="s">
        <v>489</v>
      </c>
      <c r="M23" s="399" t="s">
        <v>490</v>
      </c>
      <c r="N23" s="50">
        <v>45686</v>
      </c>
      <c r="O23" s="125">
        <v>45687</v>
      </c>
      <c r="P23" s="100"/>
      <c r="Q23" s="101"/>
      <c r="R23" s="398"/>
      <c r="S23" s="100"/>
      <c r="T23" s="46"/>
      <c r="U23" s="50"/>
      <c r="V23" s="125"/>
      <c r="W23" s="100"/>
      <c r="X23" s="101"/>
      <c r="Y23" s="101"/>
      <c r="Z23" s="100"/>
      <c r="AA23" s="100"/>
      <c r="AB23" s="50"/>
      <c r="AC23" s="198"/>
      <c r="AD23" s="100"/>
      <c r="AE23" s="72"/>
      <c r="AF23" s="72"/>
      <c r="AG23" s="90"/>
      <c r="AH23" s="90"/>
      <c r="AI23" s="95"/>
      <c r="AJ23" s="128"/>
      <c r="AK23" s="90"/>
      <c r="AL23" s="72"/>
      <c r="AM23" s="72"/>
      <c r="AN23" s="90"/>
      <c r="AO23" s="57"/>
      <c r="AP23" s="128"/>
      <c r="AQ23" s="186"/>
      <c r="AR23" s="194"/>
      <c r="AS23" s="89"/>
      <c r="AT23" s="89"/>
      <c r="AU23" s="99"/>
      <c r="AV23" s="99"/>
      <c r="AW23" s="104"/>
      <c r="AX23" s="56"/>
      <c r="AY23" s="90"/>
      <c r="AZ23" s="72"/>
      <c r="BA23" s="72"/>
      <c r="BB23" s="90"/>
      <c r="BC23" s="90"/>
      <c r="BD23" s="128"/>
      <c r="BE23" s="186"/>
      <c r="BF23" s="90"/>
      <c r="BG23" s="72"/>
      <c r="BH23" s="72"/>
      <c r="BI23" s="90"/>
      <c r="BJ23" s="90"/>
      <c r="BK23" s="56"/>
      <c r="BL23" s="56"/>
      <c r="BM23" s="90"/>
      <c r="BN23" s="72"/>
      <c r="BO23" s="72"/>
      <c r="BP23" s="90"/>
      <c r="BQ23" s="90"/>
      <c r="BR23" s="128"/>
      <c r="BS23" s="161"/>
      <c r="BT23" s="90"/>
      <c r="BU23" s="72"/>
      <c r="BV23" s="72"/>
      <c r="BW23" s="90"/>
      <c r="BX23" s="90"/>
      <c r="BY23" s="90"/>
      <c r="BZ23" s="95"/>
      <c r="CA23" s="161"/>
      <c r="CB23" s="88"/>
      <c r="CC23" s="72"/>
      <c r="CD23" s="89"/>
      <c r="CE23" s="96"/>
      <c r="CF23" s="90"/>
      <c r="CG23" s="90"/>
      <c r="CH23" s="97"/>
      <c r="CI23" s="161"/>
      <c r="CJ23" s="108"/>
      <c r="CK23" s="72"/>
      <c r="CL23" s="72"/>
      <c r="CM23" s="96"/>
      <c r="CN23" s="90"/>
      <c r="CO23" s="90"/>
      <c r="CP23" s="128"/>
      <c r="CQ23" s="161"/>
    </row>
    <row r="24" spans="1:95" ht="16.5" customHeight="1" thickBot="1" x14ac:dyDescent="0.3">
      <c r="A24" s="682" t="s">
        <v>138</v>
      </c>
      <c r="B24" s="690" t="s">
        <v>122</v>
      </c>
      <c r="C24" s="3" t="s">
        <v>107</v>
      </c>
      <c r="D24" s="196">
        <v>4508005</v>
      </c>
      <c r="E24" s="196">
        <v>3500</v>
      </c>
      <c r="F24" s="196" t="s">
        <v>139</v>
      </c>
      <c r="G24" s="196" t="s">
        <v>140</v>
      </c>
      <c r="H24" s="124">
        <v>25</v>
      </c>
      <c r="I24" s="100">
        <v>12829661</v>
      </c>
      <c r="J24" s="101">
        <v>427.33</v>
      </c>
      <c r="K24" s="398">
        <v>0</v>
      </c>
      <c r="L24" s="100">
        <v>4500752410</v>
      </c>
      <c r="M24" s="399">
        <v>1000225355</v>
      </c>
      <c r="N24" s="50">
        <v>45677</v>
      </c>
      <c r="O24" s="125">
        <v>45679</v>
      </c>
      <c r="P24" s="100"/>
      <c r="Q24" s="101"/>
      <c r="R24" s="398"/>
      <c r="S24" s="100"/>
      <c r="T24" s="46"/>
      <c r="U24" s="50"/>
      <c r="V24" s="125"/>
      <c r="W24" s="100"/>
      <c r="X24" s="101"/>
      <c r="Y24" s="101"/>
      <c r="Z24" s="100"/>
      <c r="AA24" s="100"/>
      <c r="AB24" s="50"/>
      <c r="AC24" s="198"/>
      <c r="AD24" s="52"/>
      <c r="AE24" s="72"/>
      <c r="AF24" s="72"/>
      <c r="AG24" s="90"/>
      <c r="AH24" s="90"/>
      <c r="AI24" s="95"/>
      <c r="AJ24" s="128"/>
      <c r="AK24" s="90"/>
      <c r="AL24" s="72"/>
      <c r="AM24" s="72"/>
      <c r="AN24" s="57"/>
      <c r="AO24" s="203"/>
      <c r="AP24" s="128"/>
      <c r="AQ24" s="186"/>
      <c r="AR24" s="108"/>
      <c r="AS24" s="72"/>
      <c r="AT24" s="72"/>
      <c r="AU24" s="90"/>
      <c r="AV24" s="137"/>
      <c r="AW24" s="104"/>
      <c r="AX24" s="204"/>
      <c r="AY24" s="90"/>
      <c r="AZ24" s="72"/>
      <c r="BA24" s="72"/>
      <c r="BB24" s="90"/>
      <c r="BC24" s="103"/>
      <c r="BD24" s="128"/>
      <c r="BE24" s="128"/>
      <c r="BF24" s="90"/>
      <c r="BG24" s="72"/>
      <c r="BH24" s="72"/>
      <c r="BI24" s="90"/>
      <c r="BJ24" s="205"/>
      <c r="BK24" s="56"/>
      <c r="BL24" s="56"/>
      <c r="BM24" s="90"/>
      <c r="BN24" s="72"/>
      <c r="BO24" s="72"/>
      <c r="BP24" s="90"/>
      <c r="BQ24" s="409"/>
      <c r="BR24" s="161"/>
      <c r="BS24" s="161"/>
      <c r="BT24" s="90"/>
      <c r="BU24" s="72"/>
      <c r="BV24" s="72"/>
      <c r="BW24" s="90"/>
      <c r="BX24" s="90"/>
      <c r="BY24" s="206"/>
      <c r="BZ24" s="128"/>
      <c r="CA24" s="161"/>
      <c r="CB24" s="88"/>
      <c r="CC24" s="72"/>
      <c r="CD24" s="89"/>
      <c r="CE24" s="96"/>
      <c r="CF24" s="90"/>
      <c r="CG24" s="90"/>
      <c r="CH24" s="97"/>
      <c r="CI24" s="161"/>
      <c r="CJ24" s="90"/>
      <c r="CK24" s="72"/>
      <c r="CL24" s="72"/>
      <c r="CM24" s="90"/>
      <c r="CN24" s="90"/>
      <c r="CO24" s="207"/>
      <c r="CP24" s="128"/>
      <c r="CQ24" s="161"/>
    </row>
    <row r="25" spans="1:95" ht="14.25" hidden="1" customHeight="1" x14ac:dyDescent="0.25">
      <c r="A25" s="123" t="s">
        <v>141</v>
      </c>
      <c r="B25" s="2" t="s">
        <v>53</v>
      </c>
      <c r="C25" s="3" t="s">
        <v>107</v>
      </c>
      <c r="D25" s="196">
        <v>4508001</v>
      </c>
      <c r="E25" s="196"/>
      <c r="F25" s="196" t="s">
        <v>142</v>
      </c>
      <c r="G25" s="196" t="s">
        <v>114</v>
      </c>
      <c r="H25" s="124" t="s">
        <v>143</v>
      </c>
      <c r="I25" s="397"/>
      <c r="J25" s="397"/>
      <c r="K25" s="397"/>
      <c r="L25" s="397"/>
      <c r="M25" s="397"/>
      <c r="N25" s="410"/>
      <c r="O25" s="411"/>
      <c r="P25" s="100"/>
      <c r="Q25" s="101"/>
      <c r="R25" s="398"/>
      <c r="S25" s="100"/>
      <c r="T25" s="46"/>
      <c r="U25" s="50"/>
      <c r="V25" s="125"/>
      <c r="W25" s="100"/>
      <c r="X25" s="101"/>
      <c r="Y25" s="101"/>
      <c r="Z25" s="100"/>
      <c r="AA25" s="100"/>
      <c r="AB25" s="50"/>
      <c r="AC25" s="198"/>
      <c r="AD25" s="100"/>
      <c r="AE25" s="72"/>
      <c r="AF25" s="72"/>
      <c r="AG25" s="90"/>
      <c r="AH25" s="90"/>
      <c r="AI25" s="95"/>
      <c r="AJ25" s="128"/>
      <c r="AK25" s="208"/>
      <c r="AL25" s="209"/>
      <c r="AM25" s="405"/>
      <c r="AN25" s="208"/>
      <c r="AO25" s="208"/>
      <c r="AP25" s="208"/>
      <c r="AQ25" s="208"/>
      <c r="AR25" s="210"/>
      <c r="AS25" s="208"/>
      <c r="AT25" s="208"/>
      <c r="AU25" s="208"/>
      <c r="AV25" s="208"/>
      <c r="AW25" s="208"/>
      <c r="AX25" s="208"/>
      <c r="AY25" s="208"/>
      <c r="AZ25" s="209"/>
      <c r="BA25" s="208"/>
      <c r="BB25" s="208"/>
      <c r="BC25" s="208"/>
      <c r="BD25" s="204"/>
      <c r="BE25" s="204"/>
      <c r="BF25" s="208"/>
      <c r="BG25" s="209"/>
      <c r="BH25" s="209"/>
      <c r="BI25" s="208"/>
      <c r="BJ25" s="208"/>
      <c r="BK25" s="56"/>
      <c r="BL25" s="56"/>
      <c r="BM25" s="208"/>
      <c r="BN25" s="209"/>
      <c r="BO25" s="209"/>
      <c r="BP25" s="208"/>
      <c r="BQ25" s="208"/>
      <c r="BR25" s="204"/>
      <c r="BS25" s="161"/>
      <c r="BT25" s="208"/>
      <c r="BU25" s="209"/>
      <c r="BV25" s="209"/>
      <c r="BW25" s="211"/>
      <c r="BX25" s="208"/>
      <c r="BY25" s="208"/>
      <c r="BZ25" s="204"/>
      <c r="CA25" s="161"/>
      <c r="CB25" s="208"/>
      <c r="CC25" s="209"/>
      <c r="CD25" s="209"/>
      <c r="CE25" s="211"/>
      <c r="CF25" s="208"/>
      <c r="CG25" s="208"/>
      <c r="CH25" s="204"/>
      <c r="CI25" s="161"/>
      <c r="CJ25" s="210"/>
      <c r="CK25" s="209"/>
      <c r="CL25" s="209"/>
      <c r="CM25" s="211"/>
      <c r="CN25" s="208"/>
      <c r="CO25" s="208"/>
      <c r="CP25" s="204"/>
      <c r="CQ25" s="161"/>
    </row>
    <row r="26" spans="1:95" x14ac:dyDescent="0.25">
      <c r="A26" s="212" t="s">
        <v>496</v>
      </c>
      <c r="B26" s="213" t="s">
        <v>53</v>
      </c>
      <c r="C26" s="3" t="s">
        <v>107</v>
      </c>
      <c r="D26" s="197">
        <v>4508001</v>
      </c>
      <c r="E26" s="197">
        <v>4500</v>
      </c>
      <c r="F26" s="197" t="s">
        <v>144</v>
      </c>
      <c r="G26" s="197" t="s">
        <v>114</v>
      </c>
      <c r="H26" s="124">
        <v>14</v>
      </c>
      <c r="I26" s="100">
        <v>12828332</v>
      </c>
      <c r="J26" s="101">
        <v>74.42</v>
      </c>
      <c r="K26" s="398">
        <v>0</v>
      </c>
      <c r="L26" s="412">
        <v>4500751507</v>
      </c>
      <c r="M26" s="100" t="s">
        <v>145</v>
      </c>
      <c r="N26" s="50">
        <v>45666</v>
      </c>
      <c r="O26" s="551">
        <v>10</v>
      </c>
      <c r="P26" s="100">
        <v>12830849</v>
      </c>
      <c r="Q26" s="101">
        <v>22.25</v>
      </c>
      <c r="R26" s="398">
        <v>0</v>
      </c>
      <c r="S26" s="100"/>
      <c r="T26" s="46"/>
      <c r="U26" s="50"/>
      <c r="V26" s="125"/>
      <c r="W26" s="100"/>
      <c r="X26" s="101"/>
      <c r="Y26" s="101"/>
      <c r="Z26" s="100"/>
      <c r="AA26" s="100"/>
      <c r="AB26" s="50"/>
      <c r="AC26" s="198"/>
      <c r="AD26" s="52"/>
      <c r="AE26" s="72"/>
      <c r="AF26" s="72"/>
      <c r="AG26" s="90"/>
      <c r="AH26" s="90"/>
      <c r="AI26" s="95"/>
      <c r="AJ26" s="128"/>
      <c r="AK26" s="90"/>
      <c r="AL26" s="72"/>
      <c r="AM26" s="72"/>
      <c r="AN26" s="90"/>
      <c r="AO26" s="57"/>
      <c r="AP26" s="128"/>
      <c r="AQ26" s="186"/>
      <c r="AR26" s="108"/>
      <c r="AS26" s="72"/>
      <c r="AT26" s="72"/>
      <c r="AU26" s="90"/>
      <c r="AV26" s="90"/>
      <c r="AW26" s="104"/>
      <c r="AX26" s="56"/>
      <c r="AY26" s="90"/>
      <c r="AZ26" s="72"/>
      <c r="BA26" s="72"/>
      <c r="BB26" s="215"/>
      <c r="BC26" s="90"/>
      <c r="BD26" s="128"/>
      <c r="BE26" s="186"/>
      <c r="BF26" s="90"/>
      <c r="BG26" s="72"/>
      <c r="BH26" s="72"/>
      <c r="BI26" s="90"/>
      <c r="BJ26" s="90"/>
      <c r="BK26" s="186"/>
      <c r="BL26" s="186"/>
      <c r="BM26" s="90"/>
      <c r="BN26" s="72"/>
      <c r="BO26" s="72"/>
      <c r="BP26" s="90"/>
      <c r="BQ26" s="90"/>
      <c r="BR26" s="128"/>
      <c r="BS26" s="161"/>
      <c r="BT26" s="90"/>
      <c r="BU26" s="72"/>
      <c r="BV26" s="72"/>
      <c r="BW26" s="96"/>
      <c r="BX26" s="90"/>
      <c r="BY26" s="90"/>
      <c r="BZ26" s="128"/>
      <c r="CA26" s="161"/>
      <c r="CB26" s="88"/>
      <c r="CC26" s="72"/>
      <c r="CD26" s="89"/>
      <c r="CE26" s="96"/>
      <c r="CF26" s="90"/>
      <c r="CG26" s="90"/>
      <c r="CH26" s="97"/>
      <c r="CI26" s="161"/>
      <c r="CJ26" s="108"/>
      <c r="CK26" s="72"/>
      <c r="CL26" s="72"/>
      <c r="CM26" s="96"/>
      <c r="CN26" s="90"/>
      <c r="CO26" s="90"/>
      <c r="CP26" s="128"/>
      <c r="CQ26" s="161"/>
    </row>
    <row r="27" spans="1:95" ht="20.25" customHeight="1" thickBot="1" x14ac:dyDescent="0.3">
      <c r="A27" s="212" t="s">
        <v>495</v>
      </c>
      <c r="B27" s="216" t="s">
        <v>53</v>
      </c>
      <c r="C27" s="3" t="s">
        <v>107</v>
      </c>
      <c r="D27" s="197">
        <v>4508001</v>
      </c>
      <c r="E27" s="197">
        <v>4500</v>
      </c>
      <c r="F27" s="197" t="s">
        <v>144</v>
      </c>
      <c r="G27" s="197" t="s">
        <v>114</v>
      </c>
      <c r="H27" s="124">
        <v>14</v>
      </c>
      <c r="I27" s="100">
        <v>12828333</v>
      </c>
      <c r="J27" s="101">
        <v>64.06</v>
      </c>
      <c r="K27" s="398">
        <v>0</v>
      </c>
      <c r="L27" s="100">
        <v>4500751508</v>
      </c>
      <c r="M27" s="100" t="s">
        <v>146</v>
      </c>
      <c r="N27" s="50">
        <v>45666</v>
      </c>
      <c r="O27" s="125">
        <v>45667</v>
      </c>
      <c r="P27" s="100">
        <v>12830850</v>
      </c>
      <c r="Q27" s="101">
        <v>25.17</v>
      </c>
      <c r="R27" s="398">
        <v>0</v>
      </c>
      <c r="S27" s="100"/>
      <c r="T27" s="46"/>
      <c r="U27" s="50"/>
      <c r="V27" s="125"/>
      <c r="W27" s="100"/>
      <c r="X27" s="101"/>
      <c r="Y27" s="101"/>
      <c r="Z27" s="100"/>
      <c r="AA27" s="100"/>
      <c r="AB27" s="50"/>
      <c r="AC27" s="198"/>
      <c r="AD27" s="100"/>
      <c r="AE27" s="72"/>
      <c r="AF27" s="72"/>
      <c r="AG27" s="90"/>
      <c r="AH27" s="90"/>
      <c r="AI27" s="95"/>
      <c r="AJ27" s="128"/>
      <c r="AK27" s="90"/>
      <c r="AL27" s="72"/>
      <c r="AM27" s="72"/>
      <c r="AN27" s="90"/>
      <c r="AO27" s="57"/>
      <c r="AP27" s="128"/>
      <c r="AQ27" s="186"/>
      <c r="AR27" s="217"/>
      <c r="AS27" s="142"/>
      <c r="AT27" s="142"/>
      <c r="AU27" s="218"/>
      <c r="AV27" s="218"/>
      <c r="AW27" s="219"/>
      <c r="AX27" s="220"/>
      <c r="AY27" s="218"/>
      <c r="AZ27" s="72"/>
      <c r="BA27" s="72"/>
      <c r="BB27" s="90"/>
      <c r="BC27" s="90"/>
      <c r="BD27" s="128"/>
      <c r="BE27" s="186"/>
      <c r="BF27" s="90"/>
      <c r="BG27" s="72"/>
      <c r="BH27" s="72"/>
      <c r="BI27" s="90"/>
      <c r="BJ27" s="90"/>
      <c r="BK27" s="186"/>
      <c r="BL27" s="186"/>
      <c r="BM27" s="90"/>
      <c r="BN27" s="72"/>
      <c r="BO27" s="72"/>
      <c r="BP27" s="90"/>
      <c r="BQ27" s="90"/>
      <c r="BR27" s="128"/>
      <c r="BS27" s="161"/>
      <c r="BT27" s="90"/>
      <c r="BU27" s="72"/>
      <c r="BV27" s="72"/>
      <c r="BW27" s="96"/>
      <c r="BX27" s="90"/>
      <c r="BY27" s="90"/>
      <c r="BZ27" s="128"/>
      <c r="CA27" s="161"/>
      <c r="CB27" s="88"/>
      <c r="CC27" s="72"/>
      <c r="CD27" s="89"/>
      <c r="CE27" s="96"/>
      <c r="CF27" s="90"/>
      <c r="CG27" s="90"/>
      <c r="CH27" s="97"/>
      <c r="CI27" s="161"/>
      <c r="CJ27" s="108"/>
      <c r="CK27" s="72"/>
      <c r="CL27" s="72"/>
      <c r="CM27" s="96"/>
      <c r="CN27" s="90"/>
      <c r="CO27" s="90"/>
      <c r="CP27" s="128"/>
      <c r="CQ27" s="161"/>
    </row>
    <row r="28" spans="1:95" s="148" customFormat="1" ht="15.75" thickBot="1" x14ac:dyDescent="0.3">
      <c r="A28" s="148" t="s">
        <v>147</v>
      </c>
    </row>
    <row r="29" spans="1:95" x14ac:dyDescent="0.25">
      <c r="A29" s="221" t="s">
        <v>148</v>
      </c>
      <c r="B29" s="222" t="s">
        <v>122</v>
      </c>
      <c r="C29" s="150" t="s">
        <v>107</v>
      </c>
      <c r="D29" s="223">
        <v>4508005</v>
      </c>
      <c r="E29" s="223">
        <v>1476</v>
      </c>
      <c r="F29" s="223"/>
      <c r="G29" s="189" t="s">
        <v>149</v>
      </c>
      <c r="H29" s="191">
        <v>25</v>
      </c>
      <c r="I29" s="100">
        <v>12828922</v>
      </c>
      <c r="J29" s="101">
        <v>6628.91</v>
      </c>
      <c r="K29" s="398">
        <v>182.84</v>
      </c>
      <c r="L29" s="100" t="s">
        <v>150</v>
      </c>
      <c r="M29" s="100" t="s">
        <v>151</v>
      </c>
      <c r="N29" s="50">
        <v>45678</v>
      </c>
      <c r="O29" s="125">
        <v>45679</v>
      </c>
      <c r="P29" s="100"/>
      <c r="Q29" s="101"/>
      <c r="R29" s="398"/>
      <c r="S29" s="46"/>
      <c r="T29" s="100"/>
      <c r="U29" s="50"/>
      <c r="V29" s="125"/>
      <c r="W29" s="100"/>
      <c r="X29" s="101"/>
      <c r="Y29" s="101"/>
      <c r="Z29" s="100"/>
      <c r="AA29" s="100"/>
      <c r="AB29" s="50"/>
      <c r="AC29" s="198"/>
      <c r="AD29" s="100"/>
      <c r="AE29" s="72"/>
      <c r="AF29" s="72"/>
      <c r="AG29" s="90"/>
      <c r="AH29" s="90"/>
      <c r="AI29" s="95"/>
      <c r="AJ29" s="128"/>
      <c r="AK29" s="90"/>
      <c r="AL29" s="72"/>
      <c r="AM29" s="72"/>
      <c r="AN29" s="57"/>
      <c r="AO29" s="57"/>
      <c r="AP29" s="128"/>
      <c r="AQ29" s="186"/>
      <c r="AR29" s="194"/>
      <c r="AS29" s="89"/>
      <c r="AT29" s="89"/>
      <c r="AU29" s="99"/>
      <c r="AV29" s="99"/>
      <c r="AW29" s="82"/>
      <c r="AX29" s="224"/>
      <c r="AY29" s="99"/>
      <c r="AZ29" s="89"/>
      <c r="BA29" s="89"/>
      <c r="BB29" s="99"/>
      <c r="BC29" s="99"/>
      <c r="BD29" s="225"/>
      <c r="BE29" s="226"/>
      <c r="BF29" s="99"/>
      <c r="BG29" s="89"/>
      <c r="BH29" s="89"/>
      <c r="BI29" s="99"/>
      <c r="BJ29" s="99"/>
      <c r="BK29" s="226"/>
      <c r="BL29" s="226"/>
      <c r="BM29" s="99"/>
      <c r="BN29" s="89"/>
      <c r="BO29" s="72"/>
      <c r="BP29" s="99"/>
      <c r="BQ29" s="99"/>
      <c r="BR29" s="225"/>
      <c r="BS29" s="161"/>
      <c r="BT29" s="99"/>
      <c r="BU29" s="89"/>
      <c r="BV29" s="89"/>
      <c r="BW29" s="195"/>
      <c r="BX29" s="99"/>
      <c r="BY29" s="99"/>
      <c r="BZ29" s="225"/>
      <c r="CA29" s="161"/>
      <c r="CB29" s="88"/>
      <c r="CC29" s="72"/>
      <c r="CD29" s="89"/>
      <c r="CE29" s="96"/>
      <c r="CF29" s="90"/>
      <c r="CG29" s="90"/>
      <c r="CH29" s="97"/>
      <c r="CI29" s="161"/>
      <c r="CJ29" s="194"/>
      <c r="CK29" s="89"/>
      <c r="CL29" s="89"/>
      <c r="CM29" s="195"/>
      <c r="CN29" s="99"/>
      <c r="CO29" s="99"/>
      <c r="CP29" s="225"/>
      <c r="CQ29" s="161"/>
    </row>
    <row r="30" spans="1:95" x14ac:dyDescent="0.25">
      <c r="A30" s="123" t="s">
        <v>152</v>
      </c>
      <c r="B30" s="2" t="s">
        <v>122</v>
      </c>
      <c r="C30" s="3" t="s">
        <v>103</v>
      </c>
      <c r="D30" s="196">
        <v>4508005</v>
      </c>
      <c r="E30" s="196">
        <v>9102</v>
      </c>
      <c r="F30" s="196"/>
      <c r="G30" s="196" t="s">
        <v>149</v>
      </c>
      <c r="H30" s="191">
        <v>25</v>
      </c>
      <c r="I30" s="100">
        <v>12828916</v>
      </c>
      <c r="J30" s="101">
        <v>1838.28</v>
      </c>
      <c r="K30" s="398">
        <v>47.46</v>
      </c>
      <c r="L30" s="100">
        <v>4500751744</v>
      </c>
      <c r="M30" s="100">
        <v>5000001291</v>
      </c>
      <c r="N30" s="50">
        <v>45671</v>
      </c>
      <c r="O30" s="125">
        <v>45671</v>
      </c>
      <c r="P30" s="100"/>
      <c r="Q30" s="101"/>
      <c r="R30" s="398"/>
      <c r="S30" s="46"/>
      <c r="T30" s="100"/>
      <c r="U30" s="50"/>
      <c r="V30" s="125"/>
      <c r="W30" s="100"/>
      <c r="X30" s="101"/>
      <c r="Y30" s="101"/>
      <c r="Z30" s="100"/>
      <c r="AA30" s="100"/>
      <c r="AB30" s="50"/>
      <c r="AC30" s="198"/>
      <c r="AD30" s="52"/>
      <c r="AE30" s="72"/>
      <c r="AF30" s="72"/>
      <c r="AG30" s="90"/>
      <c r="AH30" s="90"/>
      <c r="AI30" s="95"/>
      <c r="AJ30" s="128"/>
      <c r="AK30" s="90"/>
      <c r="AL30" s="72"/>
      <c r="AM30" s="72"/>
      <c r="AN30" s="57"/>
      <c r="AO30" s="57"/>
      <c r="AP30" s="128"/>
      <c r="AQ30" s="186"/>
      <c r="AR30" s="108"/>
      <c r="AS30" s="72"/>
      <c r="AT30" s="72"/>
      <c r="AU30" s="90"/>
      <c r="AV30" s="90"/>
      <c r="AW30" s="104"/>
      <c r="AX30" s="56"/>
      <c r="AY30" s="90"/>
      <c r="AZ30" s="72"/>
      <c r="BA30" s="72"/>
      <c r="BB30" s="90"/>
      <c r="BC30" s="90"/>
      <c r="BD30" s="128"/>
      <c r="BE30" s="186"/>
      <c r="BF30" s="90"/>
      <c r="BG30" s="72"/>
      <c r="BH30" s="72"/>
      <c r="BI30" s="90"/>
      <c r="BJ30" s="90"/>
      <c r="BK30" s="186"/>
      <c r="BL30" s="186"/>
      <c r="BM30" s="90"/>
      <c r="BN30" s="72"/>
      <c r="BO30" s="72"/>
      <c r="BP30" s="90"/>
      <c r="BQ30" s="90"/>
      <c r="BR30" s="128"/>
      <c r="BS30" s="161"/>
      <c r="BT30" s="90"/>
      <c r="BU30" s="72"/>
      <c r="BV30" s="72"/>
      <c r="BW30" s="96"/>
      <c r="BX30" s="90"/>
      <c r="BY30" s="90"/>
      <c r="BZ30" s="128"/>
      <c r="CA30" s="161"/>
      <c r="CB30" s="88"/>
      <c r="CC30" s="72"/>
      <c r="CD30" s="89"/>
      <c r="CE30" s="96"/>
      <c r="CF30" s="90"/>
      <c r="CG30" s="90"/>
      <c r="CH30" s="97"/>
      <c r="CI30" s="161"/>
      <c r="CJ30" s="108"/>
      <c r="CK30" s="72"/>
      <c r="CL30" s="72"/>
      <c r="CM30" s="96"/>
      <c r="CN30" s="90"/>
      <c r="CO30" s="57"/>
      <c r="CP30" s="128"/>
      <c r="CQ30" s="161"/>
    </row>
    <row r="31" spans="1:95" ht="19.5" customHeight="1" x14ac:dyDescent="0.25">
      <c r="A31" s="413" t="s">
        <v>153</v>
      </c>
      <c r="B31" s="2" t="s">
        <v>122</v>
      </c>
      <c r="C31" s="3" t="s">
        <v>107</v>
      </c>
      <c r="D31" s="196">
        <v>4508005</v>
      </c>
      <c r="E31" s="196">
        <v>5500</v>
      </c>
      <c r="F31" s="196" t="s">
        <v>139</v>
      </c>
      <c r="G31" s="196" t="s">
        <v>149</v>
      </c>
      <c r="H31" s="191">
        <v>25</v>
      </c>
      <c r="I31" s="100">
        <v>12828918</v>
      </c>
      <c r="J31" s="101">
        <v>1013.06</v>
      </c>
      <c r="K31" s="398">
        <v>27.83</v>
      </c>
      <c r="L31" s="100">
        <v>4500751864</v>
      </c>
      <c r="M31" s="100">
        <v>5000001630</v>
      </c>
      <c r="N31" s="50">
        <v>45673</v>
      </c>
      <c r="O31" s="125">
        <v>45673</v>
      </c>
      <c r="P31" s="100"/>
      <c r="Q31" s="101"/>
      <c r="R31" s="398"/>
      <c r="S31" s="46"/>
      <c r="T31" s="100"/>
      <c r="U31" s="50"/>
      <c r="V31" s="125"/>
      <c r="W31" s="100"/>
      <c r="X31" s="101"/>
      <c r="Y31" s="101"/>
      <c r="Z31" s="100"/>
      <c r="AA31" s="100"/>
      <c r="AB31" s="50"/>
      <c r="AC31" s="198"/>
      <c r="AD31" s="52"/>
      <c r="AE31" s="72"/>
      <c r="AF31" s="72"/>
      <c r="AG31" s="90"/>
      <c r="AH31" s="90"/>
      <c r="AI31" s="95"/>
      <c r="AJ31" s="128"/>
      <c r="AK31" s="90"/>
      <c r="AL31" s="72"/>
      <c r="AM31" s="72"/>
      <c r="AN31" s="57"/>
      <c r="AO31" s="90"/>
      <c r="AP31" s="128"/>
      <c r="AQ31" s="186"/>
      <c r="AR31" s="108"/>
      <c r="AS31" s="72"/>
      <c r="AT31" s="389"/>
      <c r="AU31" s="90"/>
      <c r="AV31" s="99"/>
      <c r="AW31" s="104"/>
      <c r="AX31" s="56"/>
      <c r="AY31" s="90"/>
      <c r="AZ31" s="72"/>
      <c r="BA31" s="209"/>
      <c r="BB31" s="90"/>
      <c r="BC31" s="90"/>
      <c r="BD31" s="128"/>
      <c r="BE31" s="186"/>
      <c r="BF31" s="90"/>
      <c r="BG31" s="72"/>
      <c r="BH31" s="72"/>
      <c r="BI31" s="90"/>
      <c r="BJ31" s="90"/>
      <c r="BK31" s="186"/>
      <c r="BL31" s="186"/>
      <c r="BM31" s="90"/>
      <c r="BN31" s="72"/>
      <c r="BO31" s="209"/>
      <c r="BP31" s="90"/>
      <c r="BQ31" s="90"/>
      <c r="BR31" s="225"/>
      <c r="BS31" s="161"/>
      <c r="BT31" s="137"/>
      <c r="BU31" s="109"/>
      <c r="BV31" s="72"/>
      <c r="BW31" s="96"/>
      <c r="BX31" s="90"/>
      <c r="BY31" s="90"/>
      <c r="BZ31" s="128"/>
      <c r="CA31" s="161"/>
      <c r="CB31" s="88"/>
      <c r="CC31" s="72"/>
      <c r="CD31" s="89"/>
      <c r="CE31" s="96"/>
      <c r="CF31" s="90"/>
      <c r="CG31" s="90"/>
      <c r="CH31" s="97"/>
      <c r="CI31" s="161"/>
      <c r="CJ31" s="108"/>
      <c r="CK31" s="72"/>
      <c r="CL31" s="72"/>
      <c r="CM31" s="96"/>
      <c r="CN31" s="90"/>
      <c r="CO31" s="57"/>
      <c r="CP31" s="128"/>
      <c r="CQ31" s="161"/>
    </row>
    <row r="32" spans="1:95" ht="25.5" customHeight="1" x14ac:dyDescent="0.25">
      <c r="A32" t="s">
        <v>492</v>
      </c>
      <c r="B32" s="2" t="s">
        <v>44</v>
      </c>
      <c r="C32" s="3" t="s">
        <v>107</v>
      </c>
      <c r="D32" s="196">
        <v>4508005</v>
      </c>
      <c r="E32" s="196" t="s">
        <v>155</v>
      </c>
      <c r="F32" s="197" t="s">
        <v>156</v>
      </c>
      <c r="G32" s="197" t="s">
        <v>157</v>
      </c>
      <c r="H32" s="124" t="s">
        <v>158</v>
      </c>
      <c r="I32" s="100">
        <v>12828970</v>
      </c>
      <c r="J32" s="101">
        <v>12899.2</v>
      </c>
      <c r="K32" s="398">
        <v>0</v>
      </c>
      <c r="L32" s="100" t="s">
        <v>170</v>
      </c>
      <c r="M32" s="100"/>
      <c r="N32" s="50"/>
      <c r="O32" s="125">
        <v>45688</v>
      </c>
      <c r="P32" s="100"/>
      <c r="Q32" s="101"/>
      <c r="R32" s="398"/>
      <c r="S32" s="46"/>
      <c r="T32" s="100"/>
      <c r="U32" s="50"/>
      <c r="V32" s="125"/>
      <c r="W32" s="100"/>
      <c r="X32" s="101"/>
      <c r="Y32" s="101"/>
      <c r="Z32" s="100"/>
      <c r="AA32" s="100"/>
      <c r="AB32" s="50"/>
      <c r="AC32" s="198"/>
      <c r="AD32" s="52"/>
      <c r="AE32" s="72"/>
      <c r="AF32" s="72"/>
      <c r="AG32" s="90"/>
      <c r="AH32" s="90"/>
      <c r="AI32" s="95"/>
      <c r="AJ32" s="128"/>
      <c r="AK32" s="90"/>
      <c r="AL32" s="72"/>
      <c r="AM32" s="72"/>
      <c r="AN32" s="90"/>
      <c r="AO32" s="57"/>
      <c r="AP32" s="128"/>
      <c r="AQ32" s="186"/>
      <c r="AR32" s="108"/>
      <c r="AS32" s="72"/>
      <c r="AT32" s="414"/>
      <c r="AU32" s="90"/>
      <c r="AV32" s="90"/>
      <c r="AW32" s="104"/>
      <c r="AX32" s="186"/>
      <c r="AY32" s="90"/>
      <c r="AZ32" s="72"/>
      <c r="BA32" s="72"/>
      <c r="BB32" s="90"/>
      <c r="BC32" s="90"/>
      <c r="BD32" s="128"/>
      <c r="BE32" s="186"/>
      <c r="BF32" s="90"/>
      <c r="BG32" s="72"/>
      <c r="BH32" s="72"/>
      <c r="BI32" s="90"/>
      <c r="BJ32" s="90"/>
      <c r="BK32" s="186"/>
      <c r="BL32" s="186"/>
      <c r="BM32" s="90"/>
      <c r="BN32" s="72"/>
      <c r="BO32" s="72"/>
      <c r="BP32" s="90"/>
      <c r="BQ32" s="90"/>
      <c r="BR32" s="128"/>
      <c r="BS32" s="161"/>
      <c r="BT32" s="90"/>
      <c r="BU32" s="72"/>
      <c r="BV32" s="72"/>
      <c r="BW32" s="96"/>
      <c r="BX32" s="90"/>
      <c r="BY32" s="90"/>
      <c r="BZ32" s="128"/>
      <c r="CA32" s="161"/>
      <c r="CB32" s="90"/>
      <c r="CC32" s="72"/>
      <c r="CD32" s="72"/>
      <c r="CE32" s="96"/>
      <c r="CF32" s="90"/>
      <c r="CG32" s="90"/>
      <c r="CH32" s="128"/>
      <c r="CI32" s="161"/>
      <c r="CJ32" s="228"/>
      <c r="CK32" s="72"/>
      <c r="CL32" s="72"/>
      <c r="CM32" s="96"/>
      <c r="CN32" s="90"/>
      <c r="CO32" s="90"/>
      <c r="CP32" s="128"/>
      <c r="CQ32" s="161"/>
    </row>
    <row r="33" spans="1:95" x14ac:dyDescent="0.25">
      <c r="A33" s="229" t="s">
        <v>493</v>
      </c>
      <c r="B33" s="4" t="s">
        <v>44</v>
      </c>
      <c r="C33" s="3" t="s">
        <v>107</v>
      </c>
      <c r="D33" s="230">
        <v>4508005</v>
      </c>
      <c r="E33" s="196" t="s">
        <v>155</v>
      </c>
      <c r="F33" s="197" t="s">
        <v>156</v>
      </c>
      <c r="G33" s="197" t="s">
        <v>157</v>
      </c>
      <c r="H33" s="124" t="s">
        <v>158</v>
      </c>
      <c r="I33" s="100">
        <v>12828994</v>
      </c>
      <c r="J33" s="101">
        <v>3169.2</v>
      </c>
      <c r="K33" s="398">
        <v>0</v>
      </c>
      <c r="L33" s="100">
        <v>4500752462</v>
      </c>
      <c r="M33" s="100"/>
      <c r="N33" s="50"/>
      <c r="O33" s="125">
        <v>45681</v>
      </c>
      <c r="P33" s="100"/>
      <c r="Q33" s="101"/>
      <c r="R33" s="398"/>
      <c r="S33" s="46"/>
      <c r="T33" s="100"/>
      <c r="U33" s="50"/>
      <c r="V33" s="125"/>
      <c r="W33" s="100"/>
      <c r="X33" s="101"/>
      <c r="Y33" s="101"/>
      <c r="Z33" s="100"/>
      <c r="AA33" s="100"/>
      <c r="AB33" s="50"/>
      <c r="AC33" s="198"/>
      <c r="AD33" s="52"/>
      <c r="AE33" s="72"/>
      <c r="AF33" s="72"/>
      <c r="AG33" s="90"/>
      <c r="AH33" s="90"/>
      <c r="AI33" s="95"/>
      <c r="AJ33" s="128"/>
      <c r="AK33" s="90"/>
      <c r="AL33" s="72"/>
      <c r="AM33" s="231"/>
      <c r="AN33" s="90"/>
      <c r="AO33" s="57"/>
      <c r="AP33" s="128"/>
      <c r="AQ33" s="186"/>
      <c r="AR33" s="108"/>
      <c r="AS33" s="72"/>
      <c r="AT33" s="72"/>
      <c r="AU33" s="90"/>
      <c r="AV33" s="90"/>
      <c r="AW33" s="104"/>
      <c r="AX33" s="186"/>
      <c r="AY33" s="90"/>
      <c r="AZ33" s="72"/>
      <c r="BA33" s="72"/>
      <c r="BB33" s="90"/>
      <c r="BC33" s="90"/>
      <c r="BD33" s="128"/>
      <c r="BE33" s="186"/>
      <c r="BF33" s="90"/>
      <c r="BG33" s="72"/>
      <c r="BH33" s="72"/>
      <c r="BI33" s="90"/>
      <c r="BJ33" s="90"/>
      <c r="BK33" s="186"/>
      <c r="BL33" s="186"/>
      <c r="BM33" s="90"/>
      <c r="BN33" s="72"/>
      <c r="BO33" s="72"/>
      <c r="BP33" s="90"/>
      <c r="BQ33" s="72"/>
      <c r="BR33" s="128"/>
      <c r="BS33" s="161"/>
      <c r="BT33" s="90"/>
      <c r="BU33" s="72"/>
      <c r="BV33" s="72"/>
      <c r="BW33" s="96"/>
      <c r="BX33" s="90"/>
      <c r="BY33" s="90"/>
      <c r="BZ33" s="128"/>
      <c r="CA33" s="161"/>
      <c r="CB33" s="90"/>
      <c r="CC33" s="72"/>
      <c r="CD33" s="72"/>
      <c r="CE33" s="96"/>
      <c r="CF33" s="90"/>
      <c r="CG33" s="90"/>
      <c r="CH33" s="128"/>
      <c r="CI33" s="161"/>
      <c r="CJ33" s="108"/>
      <c r="CK33" s="72"/>
      <c r="CL33" s="72"/>
      <c r="CM33" s="96"/>
      <c r="CN33" s="90"/>
      <c r="CO33" s="90"/>
      <c r="CP33" s="128"/>
      <c r="CQ33" s="161"/>
    </row>
    <row r="34" spans="1:95" ht="24.75" customHeight="1" x14ac:dyDescent="0.25">
      <c r="A34" s="232" t="s">
        <v>491</v>
      </c>
      <c r="B34" s="201" t="s">
        <v>49</v>
      </c>
      <c r="C34" s="201" t="s">
        <v>107</v>
      </c>
      <c r="D34" s="197">
        <v>4508005</v>
      </c>
      <c r="E34" s="202">
        <v>1476</v>
      </c>
      <c r="F34" s="202" t="s">
        <v>159</v>
      </c>
      <c r="G34" s="202" t="s">
        <v>149</v>
      </c>
      <c r="H34" s="124" t="s">
        <v>132</v>
      </c>
      <c r="I34" s="100">
        <v>12828972</v>
      </c>
      <c r="J34" s="101">
        <v>1489.78</v>
      </c>
      <c r="K34" s="398">
        <v>0</v>
      </c>
      <c r="L34" s="100">
        <v>4500752461</v>
      </c>
      <c r="M34" s="100">
        <v>5000002306</v>
      </c>
      <c r="N34" s="50">
        <v>45678</v>
      </c>
      <c r="O34" s="125">
        <v>45686</v>
      </c>
      <c r="P34" s="100"/>
      <c r="Q34" s="101"/>
      <c r="R34" s="398"/>
      <c r="S34" s="46"/>
      <c r="T34" s="100"/>
      <c r="U34" s="50"/>
      <c r="V34" s="125"/>
      <c r="W34" s="100"/>
      <c r="X34" s="101"/>
      <c r="Y34" s="101"/>
      <c r="Z34" s="100"/>
      <c r="AA34" s="100"/>
      <c r="AB34" s="50"/>
      <c r="AC34" s="198"/>
      <c r="AD34" s="52"/>
      <c r="AE34" s="72"/>
      <c r="AF34" s="72"/>
      <c r="AG34" s="90"/>
      <c r="AH34" s="90"/>
      <c r="AI34" s="95"/>
      <c r="AJ34" s="128"/>
      <c r="AK34" s="208"/>
      <c r="AL34" s="209"/>
      <c r="AM34" s="72"/>
      <c r="AN34" s="90"/>
      <c r="AO34" s="227"/>
      <c r="AP34" s="128"/>
      <c r="AQ34" s="204"/>
      <c r="AR34" s="108"/>
      <c r="AS34" s="72"/>
      <c r="AT34" s="72"/>
      <c r="AU34" s="90"/>
      <c r="AV34" s="90"/>
      <c r="AW34" s="104"/>
      <c r="AX34" s="186"/>
      <c r="AY34" s="90"/>
      <c r="AZ34" s="72"/>
      <c r="BA34" s="72"/>
      <c r="BB34" s="90"/>
      <c r="BC34" s="90"/>
      <c r="BD34" s="128"/>
      <c r="BE34" s="186"/>
      <c r="BF34" s="90"/>
      <c r="BG34" s="72"/>
      <c r="BH34" s="72"/>
      <c r="BI34" s="90"/>
      <c r="BJ34" s="90"/>
      <c r="BK34" s="186"/>
      <c r="BL34" s="186"/>
      <c r="BM34" s="90"/>
      <c r="BN34" s="72"/>
      <c r="BO34" s="72"/>
      <c r="BP34" s="90"/>
      <c r="BQ34" s="90"/>
      <c r="BR34" s="128"/>
      <c r="BS34" s="161"/>
      <c r="BT34" s="90"/>
      <c r="BU34" s="72"/>
      <c r="BV34" s="72"/>
      <c r="BW34" s="96"/>
      <c r="BX34" s="90"/>
      <c r="BY34" s="90"/>
      <c r="BZ34" s="128"/>
      <c r="CA34" s="161"/>
      <c r="CB34" s="88"/>
      <c r="CC34" s="72"/>
      <c r="CD34" s="89"/>
      <c r="CE34" s="96"/>
      <c r="CF34" s="90"/>
      <c r="CG34" s="90"/>
      <c r="CH34" s="97"/>
      <c r="CI34" s="161"/>
      <c r="CJ34" s="108"/>
      <c r="CK34" s="72"/>
      <c r="CL34" s="72"/>
      <c r="CM34" s="96"/>
      <c r="CN34" s="90"/>
      <c r="CO34" s="90"/>
      <c r="CP34" s="128"/>
      <c r="CQ34" s="161"/>
    </row>
    <row r="35" spans="1:95" ht="14.25" customHeight="1" x14ac:dyDescent="0.25">
      <c r="A35" s="123" t="s">
        <v>160</v>
      </c>
      <c r="B35" s="213" t="s">
        <v>49</v>
      </c>
      <c r="C35" s="3" t="s">
        <v>107</v>
      </c>
      <c r="D35" s="197">
        <v>4508005</v>
      </c>
      <c r="E35" s="197"/>
      <c r="F35" s="197" t="s">
        <v>156</v>
      </c>
      <c r="G35" s="197" t="s">
        <v>149</v>
      </c>
      <c r="H35" s="124" t="s">
        <v>161</v>
      </c>
      <c r="I35" s="100">
        <v>12828969</v>
      </c>
      <c r="J35" s="101">
        <v>1033.8900000000001</v>
      </c>
      <c r="K35" s="398">
        <v>0</v>
      </c>
      <c r="L35" s="100">
        <v>4500752457</v>
      </c>
      <c r="M35" s="100">
        <v>5000002307</v>
      </c>
      <c r="N35" s="50">
        <v>45678</v>
      </c>
      <c r="O35" s="125">
        <v>45688</v>
      </c>
      <c r="P35" s="100"/>
      <c r="Q35" s="101"/>
      <c r="R35" s="398"/>
      <c r="S35" s="100"/>
      <c r="T35" s="100"/>
      <c r="U35" s="50"/>
      <c r="V35" s="125"/>
      <c r="W35" s="100"/>
      <c r="X35" s="101"/>
      <c r="Y35" s="101"/>
      <c r="Z35" s="100"/>
      <c r="AA35" s="100"/>
      <c r="AB35" s="50"/>
      <c r="AC35" s="198"/>
      <c r="AD35" s="52"/>
      <c r="AE35" s="72"/>
      <c r="AF35" s="72"/>
      <c r="AG35" s="90"/>
      <c r="AH35" s="90"/>
      <c r="AI35" s="95"/>
      <c r="AJ35" s="128"/>
      <c r="AK35" s="90"/>
      <c r="AL35" s="72"/>
      <c r="AM35" s="72"/>
      <c r="AN35" s="90"/>
      <c r="AO35" s="108"/>
      <c r="AP35" s="128"/>
      <c r="AQ35" s="186"/>
      <c r="AR35" s="90"/>
      <c r="AS35" s="72"/>
      <c r="AT35" s="72"/>
      <c r="AU35" s="90"/>
      <c r="AV35" s="90"/>
      <c r="AW35" s="128"/>
      <c r="AX35" s="186"/>
      <c r="AY35" s="137"/>
      <c r="AZ35" s="72"/>
      <c r="BA35" s="72"/>
      <c r="BB35" s="90"/>
      <c r="BC35" s="90"/>
      <c r="BD35" s="128"/>
      <c r="BE35" s="186"/>
      <c r="BF35" s="90"/>
      <c r="BG35" s="72"/>
      <c r="BH35" s="72"/>
      <c r="BI35" s="90"/>
      <c r="BJ35" s="90"/>
      <c r="BK35" s="186"/>
      <c r="BL35" s="186"/>
      <c r="BM35" s="90"/>
      <c r="BN35" s="72"/>
      <c r="BO35" s="72"/>
      <c r="BP35" s="90"/>
      <c r="BQ35" s="90"/>
      <c r="BR35" s="128"/>
      <c r="BS35" s="161"/>
      <c r="BT35" s="90"/>
      <c r="BU35" s="72"/>
      <c r="BV35" s="72"/>
      <c r="BW35" s="96"/>
      <c r="BX35" s="90"/>
      <c r="BY35" s="90"/>
      <c r="BZ35" s="128"/>
      <c r="CA35" s="161"/>
      <c r="CB35" s="88"/>
      <c r="CC35" s="72"/>
      <c r="CD35" s="89"/>
      <c r="CE35" s="96"/>
      <c r="CF35" s="90"/>
      <c r="CG35" s="90"/>
      <c r="CH35" s="97"/>
      <c r="CI35" s="161"/>
      <c r="CJ35" s="108"/>
      <c r="CK35" s="72"/>
      <c r="CL35" s="72"/>
      <c r="CM35" s="96"/>
      <c r="CN35" s="90"/>
      <c r="CO35" s="90"/>
      <c r="CP35" s="128"/>
      <c r="CQ35" s="161"/>
    </row>
    <row r="36" spans="1:95" ht="14.25" customHeight="1" x14ac:dyDescent="0.25">
      <c r="A36" s="212" t="s">
        <v>162</v>
      </c>
      <c r="B36" s="213" t="s">
        <v>49</v>
      </c>
      <c r="C36" s="3" t="s">
        <v>103</v>
      </c>
      <c r="D36" s="197">
        <v>4508005</v>
      </c>
      <c r="E36" s="197"/>
      <c r="F36" s="197"/>
      <c r="G36" s="197"/>
      <c r="H36" s="124" t="s">
        <v>161</v>
      </c>
      <c r="I36" s="100">
        <v>12828677</v>
      </c>
      <c r="J36" s="101">
        <v>2478.06</v>
      </c>
      <c r="K36" s="398">
        <v>55.53</v>
      </c>
      <c r="L36" s="100">
        <v>4500751465</v>
      </c>
      <c r="M36" s="100">
        <v>5000001292</v>
      </c>
      <c r="N36" s="50">
        <v>45671</v>
      </c>
      <c r="O36" s="125">
        <v>45672</v>
      </c>
      <c r="P36" s="100"/>
      <c r="Q36" s="101"/>
      <c r="R36" s="398"/>
      <c r="S36" s="100"/>
      <c r="T36" s="100"/>
      <c r="U36" s="50"/>
      <c r="V36" s="125"/>
      <c r="W36" s="100"/>
      <c r="X36" s="101"/>
      <c r="Y36" s="101"/>
      <c r="Z36" s="100"/>
      <c r="AA36" s="100"/>
      <c r="AB36" s="50"/>
      <c r="AC36" s="198"/>
      <c r="AD36" s="52"/>
      <c r="AE36" s="72"/>
      <c r="AF36" s="72"/>
      <c r="AG36" s="90"/>
      <c r="AH36" s="90"/>
      <c r="AI36" s="95"/>
      <c r="AJ36" s="128"/>
      <c r="AK36" s="90"/>
      <c r="AL36" s="72"/>
      <c r="AM36" s="234"/>
      <c r="AN36" s="90"/>
      <c r="AO36" s="108"/>
      <c r="AP36" s="128"/>
      <c r="AQ36" s="186"/>
      <c r="AR36" s="90"/>
      <c r="AS36" s="72"/>
      <c r="AT36" s="72"/>
      <c r="AU36" s="90"/>
      <c r="AV36" s="137"/>
      <c r="AW36" s="104"/>
      <c r="AX36" s="56"/>
      <c r="AY36" s="137"/>
      <c r="AZ36" s="72"/>
      <c r="BA36" s="72"/>
      <c r="BB36" s="90"/>
      <c r="BC36" s="90"/>
      <c r="BD36" s="128"/>
      <c r="BE36" s="186"/>
      <c r="BF36" s="90"/>
      <c r="BG36" s="72"/>
      <c r="BH36" s="72"/>
      <c r="BI36" s="90"/>
      <c r="BJ36" s="90"/>
      <c r="BK36" s="186"/>
      <c r="BL36" s="186"/>
      <c r="BM36" s="90"/>
      <c r="BN36" s="72"/>
      <c r="BO36" s="72"/>
      <c r="BP36" s="90"/>
      <c r="BQ36" s="90"/>
      <c r="BR36" s="128"/>
      <c r="BS36" s="161"/>
      <c r="BT36" s="90"/>
      <c r="BU36" s="72"/>
      <c r="BV36" s="72"/>
      <c r="BW36" s="96"/>
      <c r="BX36" s="90"/>
      <c r="BY36" s="90"/>
      <c r="BZ36" s="128"/>
      <c r="CA36" s="161"/>
      <c r="CB36" s="88"/>
      <c r="CC36" s="72"/>
      <c r="CD36" s="89"/>
      <c r="CE36" s="96"/>
      <c r="CF36" s="90"/>
      <c r="CG36" s="90"/>
      <c r="CH36" s="97"/>
      <c r="CI36" s="161"/>
      <c r="CJ36" s="108"/>
      <c r="CK36" s="72"/>
      <c r="CL36" s="72"/>
      <c r="CM36" s="96"/>
      <c r="CN36" s="90"/>
      <c r="CO36" s="90"/>
      <c r="CP36" s="128"/>
      <c r="CQ36" s="161"/>
    </row>
    <row r="37" spans="1:95" ht="14.25" customHeight="1" x14ac:dyDescent="0.25">
      <c r="A37" s="123" t="s">
        <v>163</v>
      </c>
      <c r="B37" s="2" t="s">
        <v>56</v>
      </c>
      <c r="C37" s="3" t="s">
        <v>107</v>
      </c>
      <c r="D37" s="197">
        <v>4508005</v>
      </c>
      <c r="E37" s="197">
        <v>2500</v>
      </c>
      <c r="F37" s="197" t="s">
        <v>164</v>
      </c>
      <c r="G37" s="197" t="s">
        <v>105</v>
      </c>
      <c r="H37" s="235" t="s">
        <v>165</v>
      </c>
      <c r="I37" s="100">
        <v>12829251</v>
      </c>
      <c r="J37" s="101">
        <v>1820</v>
      </c>
      <c r="K37" s="398">
        <v>0</v>
      </c>
      <c r="L37" s="100">
        <v>4500752258</v>
      </c>
      <c r="M37" s="100">
        <v>1000225481</v>
      </c>
      <c r="N37" s="50">
        <v>45679</v>
      </c>
      <c r="O37" s="125">
        <v>45686</v>
      </c>
      <c r="P37" s="100"/>
      <c r="Q37" s="101"/>
      <c r="R37" s="398"/>
      <c r="S37" s="127"/>
      <c r="T37" s="127"/>
      <c r="U37" s="50"/>
      <c r="V37" s="125"/>
      <c r="W37" s="100"/>
      <c r="X37" s="101"/>
      <c r="Y37" s="101"/>
      <c r="Z37" s="100"/>
      <c r="AA37" s="100"/>
      <c r="AB37" s="50"/>
      <c r="AC37" s="198"/>
      <c r="AD37" s="52"/>
      <c r="AE37" s="72"/>
      <c r="AF37" s="72"/>
      <c r="AG37" s="90"/>
      <c r="AH37" s="90"/>
      <c r="AI37" s="95"/>
      <c r="AJ37" s="128"/>
      <c r="AK37" s="236"/>
      <c r="AL37" s="234"/>
      <c r="AM37" s="109"/>
      <c r="AN37" s="236"/>
      <c r="AO37" s="237"/>
      <c r="AP37" s="128"/>
      <c r="AQ37" s="128"/>
      <c r="AR37" s="90"/>
      <c r="AS37" s="72"/>
      <c r="AT37" s="109"/>
      <c r="AU37" s="90"/>
      <c r="AV37" s="137"/>
      <c r="AW37" s="104"/>
      <c r="AX37" s="56"/>
      <c r="AY37" s="137"/>
      <c r="AZ37" s="72"/>
      <c r="BA37" s="109"/>
      <c r="BB37" s="90"/>
      <c r="BC37" s="103"/>
      <c r="BD37" s="128"/>
      <c r="BE37" s="186"/>
      <c r="BF37" s="90"/>
      <c r="BG37" s="72"/>
      <c r="BH37" s="109"/>
      <c r="BI37" s="90"/>
      <c r="BJ37" s="103"/>
      <c r="BK37" s="186"/>
      <c r="BL37" s="186"/>
      <c r="BM37" s="90"/>
      <c r="BN37" s="72"/>
      <c r="BO37" s="109"/>
      <c r="BP37" s="90"/>
      <c r="BQ37" s="103"/>
      <c r="BR37" s="128"/>
      <c r="BS37" s="161"/>
      <c r="BT37" s="90"/>
      <c r="BU37" s="72"/>
      <c r="BV37" s="109"/>
      <c r="BW37" s="96"/>
      <c r="BX37" s="238"/>
      <c r="BY37" s="137"/>
      <c r="BZ37" s="128"/>
      <c r="CA37" s="161"/>
      <c r="CB37" s="90"/>
      <c r="CC37" s="72"/>
      <c r="CD37" s="109"/>
      <c r="CE37" s="96"/>
      <c r="CF37" s="90"/>
      <c r="CG37" s="103"/>
      <c r="CH37" s="97"/>
      <c r="CI37" s="161"/>
      <c r="CJ37" s="239"/>
      <c r="CK37" s="72"/>
      <c r="CL37" s="109"/>
      <c r="CM37" s="96"/>
      <c r="CN37" s="238"/>
      <c r="CO37" s="137"/>
      <c r="CP37" s="128"/>
      <c r="CQ37" s="161"/>
    </row>
    <row r="38" spans="1:95" ht="14.25" customHeight="1" x14ac:dyDescent="0.25">
      <c r="A38" s="686" t="s">
        <v>154</v>
      </c>
      <c r="B38" s="687" t="s">
        <v>57</v>
      </c>
      <c r="C38" s="240" t="s">
        <v>107</v>
      </c>
      <c r="D38" s="241">
        <v>4508005</v>
      </c>
      <c r="E38" s="202"/>
      <c r="F38" s="202"/>
      <c r="G38" s="202" t="s">
        <v>105</v>
      </c>
      <c r="H38" s="124" t="s">
        <v>166</v>
      </c>
      <c r="I38" s="100" t="s">
        <v>167</v>
      </c>
      <c r="J38" s="101">
        <v>2396.12</v>
      </c>
      <c r="K38" s="398">
        <v>0</v>
      </c>
      <c r="L38" s="100" t="s">
        <v>487</v>
      </c>
      <c r="M38" s="100" t="s">
        <v>486</v>
      </c>
      <c r="N38" s="50">
        <v>45667</v>
      </c>
      <c r="O38" s="125">
        <v>45686</v>
      </c>
      <c r="P38" s="100"/>
      <c r="Q38" s="101"/>
      <c r="R38" s="398"/>
      <c r="S38" s="100"/>
      <c r="T38" s="46"/>
      <c r="U38" s="50"/>
      <c r="V38" s="125"/>
      <c r="W38" s="100"/>
      <c r="X38" s="101"/>
      <c r="Y38" s="101"/>
      <c r="Z38" s="100"/>
      <c r="AA38" s="100"/>
      <c r="AB38" s="50"/>
      <c r="AC38" s="198"/>
      <c r="AD38" s="100"/>
      <c r="AE38" s="72"/>
      <c r="AF38" s="72"/>
      <c r="AG38" s="90"/>
      <c r="AH38" s="90"/>
      <c r="AI38" s="95"/>
      <c r="AJ38" s="128"/>
      <c r="AK38" s="57"/>
      <c r="AL38" s="72"/>
      <c r="AM38" s="242"/>
      <c r="AN38" s="90"/>
      <c r="AO38" s="108"/>
      <c r="AP38" s="244"/>
      <c r="AQ38" s="245"/>
      <c r="AR38" s="90"/>
      <c r="AS38" s="233"/>
      <c r="AT38" s="56"/>
      <c r="AU38" s="90"/>
      <c r="AV38" s="137"/>
      <c r="AW38" s="104"/>
      <c r="AX38" s="56"/>
      <c r="AY38" s="90"/>
      <c r="AZ38" s="109"/>
      <c r="BA38" s="72"/>
      <c r="BB38" s="90"/>
      <c r="BC38" s="72"/>
      <c r="BD38" s="128"/>
      <c r="BE38" s="90"/>
      <c r="BF38" s="246"/>
      <c r="BG38" s="72"/>
      <c r="BH38" s="109"/>
      <c r="BI38" s="90"/>
      <c r="BJ38" s="72"/>
      <c r="BK38" s="186"/>
      <c r="BL38" s="186"/>
      <c r="BM38" s="90"/>
      <c r="BN38" s="128"/>
      <c r="BO38" s="109"/>
      <c r="BP38" s="90"/>
      <c r="BQ38" s="72"/>
      <c r="BR38" s="128"/>
      <c r="BS38" s="161"/>
      <c r="BT38" s="90"/>
      <c r="BU38" s="173"/>
      <c r="BV38" s="72"/>
      <c r="BW38" s="186"/>
      <c r="BX38" s="90"/>
      <c r="BY38" s="72"/>
      <c r="BZ38" s="128"/>
      <c r="CA38" s="161"/>
      <c r="CB38" s="88"/>
      <c r="CC38" s="72"/>
      <c r="CD38" s="89"/>
      <c r="CE38" s="96"/>
      <c r="CF38" s="90"/>
      <c r="CG38" s="90"/>
      <c r="CH38" s="97"/>
      <c r="CI38" s="161"/>
      <c r="CJ38" s="90"/>
      <c r="CK38" s="99"/>
      <c r="CL38" s="128"/>
      <c r="CM38" s="94"/>
      <c r="CN38" s="90"/>
      <c r="CO38" s="90"/>
      <c r="CP38" s="128"/>
      <c r="CQ38" s="161"/>
    </row>
    <row r="39" spans="1:95" x14ac:dyDescent="0.25">
      <c r="A39" s="123" t="s">
        <v>42</v>
      </c>
      <c r="B39" s="2" t="s">
        <v>41</v>
      </c>
      <c r="C39" s="3" t="s">
        <v>107</v>
      </c>
      <c r="D39" s="196">
        <v>4508005</v>
      </c>
      <c r="E39" s="196">
        <v>1476</v>
      </c>
      <c r="F39" s="196" t="s">
        <v>168</v>
      </c>
      <c r="G39" s="196" t="s">
        <v>105</v>
      </c>
      <c r="H39" s="124" t="s">
        <v>169</v>
      </c>
      <c r="I39" s="397"/>
      <c r="J39" s="398"/>
      <c r="K39" s="398"/>
      <c r="L39" s="397"/>
      <c r="M39" s="397"/>
      <c r="N39" s="398"/>
      <c r="O39" s="398"/>
      <c r="P39" s="100"/>
      <c r="Q39" s="101"/>
      <c r="R39" s="398"/>
      <c r="S39" s="46"/>
      <c r="T39" s="100"/>
      <c r="U39" s="50"/>
      <c r="V39" s="125"/>
      <c r="W39" s="100"/>
      <c r="X39" s="101"/>
      <c r="Y39" s="101"/>
      <c r="Z39" s="100"/>
      <c r="AA39" s="100"/>
      <c r="AB39" s="50"/>
      <c r="AC39" s="198"/>
      <c r="AD39" s="52"/>
      <c r="AE39" s="72"/>
      <c r="AF39" s="72"/>
      <c r="AG39" s="90"/>
      <c r="AH39" s="90"/>
      <c r="AI39" s="95"/>
      <c r="AJ39" s="128"/>
      <c r="AK39" s="90"/>
      <c r="AL39" s="72"/>
      <c r="AM39" s="72"/>
      <c r="AN39" s="57"/>
      <c r="AO39" s="108"/>
      <c r="AP39" s="128"/>
      <c r="AQ39" s="186"/>
      <c r="AR39" s="90"/>
      <c r="AS39" s="72"/>
      <c r="AT39" s="72"/>
      <c r="AU39" s="90"/>
      <c r="AV39" s="90"/>
      <c r="AW39" s="104"/>
      <c r="AX39" s="56"/>
      <c r="AY39" s="90"/>
      <c r="AZ39" s="72"/>
      <c r="BA39" s="72"/>
      <c r="BB39" s="90"/>
      <c r="BC39" s="90"/>
      <c r="BD39" s="128"/>
      <c r="BE39" s="186"/>
      <c r="BF39" s="90"/>
      <c r="BG39" s="72"/>
      <c r="BH39" s="72"/>
      <c r="BI39" s="90"/>
      <c r="BJ39" s="90"/>
      <c r="BK39" s="186"/>
      <c r="BL39" s="186"/>
      <c r="BM39" s="90"/>
      <c r="BN39" s="72"/>
      <c r="BO39" s="72"/>
      <c r="BP39" s="90"/>
      <c r="BQ39" s="90"/>
      <c r="BR39" s="128"/>
      <c r="BS39" s="161"/>
      <c r="BT39" s="96"/>
      <c r="BU39" s="72"/>
      <c r="BV39" s="72"/>
      <c r="BW39" s="96"/>
      <c r="BX39" s="90"/>
      <c r="BY39" s="90"/>
      <c r="BZ39" s="128"/>
      <c r="CA39" s="161"/>
      <c r="CB39" s="88"/>
      <c r="CC39" s="72"/>
      <c r="CD39" s="89"/>
      <c r="CE39" s="96"/>
      <c r="CF39" s="90"/>
      <c r="CG39" s="90"/>
      <c r="CH39" s="97"/>
      <c r="CI39" s="161"/>
      <c r="CJ39" s="108"/>
      <c r="CK39" s="72"/>
      <c r="CL39" s="72"/>
      <c r="CM39" s="96"/>
      <c r="CN39" s="238"/>
      <c r="CO39" s="137"/>
      <c r="CP39" s="128"/>
      <c r="CQ39" s="161"/>
    </row>
    <row r="40" spans="1:95" ht="15.75" thickBot="1" x14ac:dyDescent="0.3">
      <c r="A40" s="247" t="s">
        <v>43</v>
      </c>
      <c r="B40" s="248" t="s">
        <v>41</v>
      </c>
      <c r="C40" s="249" t="s">
        <v>107</v>
      </c>
      <c r="D40" s="250">
        <v>4508005</v>
      </c>
      <c r="E40" s="250">
        <v>1476</v>
      </c>
      <c r="F40" s="250"/>
      <c r="G40" s="250"/>
      <c r="H40" s="251"/>
      <c r="I40" s="100">
        <v>12829756</v>
      </c>
      <c r="J40" s="101">
        <v>7472.86</v>
      </c>
      <c r="K40" s="398">
        <v>0</v>
      </c>
      <c r="L40" s="100" t="s">
        <v>171</v>
      </c>
      <c r="M40" s="100">
        <v>1000225613</v>
      </c>
      <c r="N40" s="50">
        <v>45680</v>
      </c>
      <c r="O40" s="125">
        <v>45686</v>
      </c>
      <c r="P40" s="100"/>
      <c r="Q40" s="101"/>
      <c r="R40" s="398"/>
      <c r="S40" s="46"/>
      <c r="T40" s="100"/>
      <c r="U40" s="50"/>
      <c r="V40" s="125"/>
      <c r="W40" s="100"/>
      <c r="X40" s="101"/>
      <c r="Y40" s="101"/>
      <c r="Z40" s="100"/>
      <c r="AA40" s="100"/>
      <c r="AB40" s="50"/>
      <c r="AC40" s="198"/>
      <c r="AD40" s="52"/>
      <c r="AE40" s="72"/>
      <c r="AF40" s="72"/>
      <c r="AG40" s="90"/>
      <c r="AH40" s="90"/>
      <c r="AI40" s="95"/>
      <c r="AJ40" s="128"/>
      <c r="AK40" s="100"/>
      <c r="AL40" s="142"/>
      <c r="AM40" s="142"/>
      <c r="AN40" s="57"/>
      <c r="AO40" s="252"/>
      <c r="AP40" s="253"/>
      <c r="AQ40" s="254"/>
      <c r="AR40" s="52"/>
      <c r="AS40" s="142"/>
      <c r="AT40" s="142"/>
      <c r="AU40" s="206"/>
      <c r="AV40" s="137"/>
      <c r="AW40" s="254"/>
      <c r="AX40" s="254"/>
      <c r="AY40" s="218"/>
      <c r="AZ40" s="142"/>
      <c r="BA40" s="142"/>
      <c r="BB40" s="218"/>
      <c r="BC40" s="206"/>
      <c r="BD40" s="253"/>
      <c r="BE40" s="254"/>
      <c r="BF40" s="218"/>
      <c r="BG40" s="142"/>
      <c r="BH40" s="142"/>
      <c r="BI40" s="218"/>
      <c r="BJ40" s="103"/>
      <c r="BK40" s="254"/>
      <c r="BL40" s="254"/>
      <c r="BM40" s="218"/>
      <c r="BN40" s="142"/>
      <c r="BO40" s="142"/>
      <c r="BP40" s="218"/>
      <c r="BQ40" s="409"/>
      <c r="BR40" s="253"/>
      <c r="BS40" s="255"/>
      <c r="BT40" s="218"/>
      <c r="BU40" s="142"/>
      <c r="BV40" s="142"/>
      <c r="BW40" s="218"/>
      <c r="BX40" s="218"/>
      <c r="BY40" s="206"/>
      <c r="BZ40" s="128"/>
      <c r="CA40" s="255"/>
      <c r="CB40" s="88"/>
      <c r="CC40" s="72"/>
      <c r="CD40" s="89"/>
      <c r="CE40" s="96"/>
      <c r="CF40" s="90"/>
      <c r="CG40" s="103"/>
      <c r="CH40" s="97"/>
      <c r="CI40" s="161"/>
      <c r="CJ40" s="218"/>
      <c r="CK40" s="142"/>
      <c r="CL40" s="142"/>
      <c r="CM40" s="218"/>
      <c r="CN40" s="218"/>
      <c r="CO40" s="206"/>
      <c r="CP40" s="253"/>
      <c r="CQ40" s="255"/>
    </row>
    <row r="41" spans="1:95" x14ac:dyDescent="0.25">
      <c r="B41"/>
      <c r="O41" s="257"/>
      <c r="R41" s="258"/>
      <c r="W41" s="100"/>
      <c r="X41" s="101"/>
      <c r="Y41" s="101"/>
      <c r="Z41" s="100"/>
      <c r="AA41" s="100"/>
      <c r="AB41" s="50"/>
      <c r="AC41" s="198"/>
      <c r="AD41" s="100"/>
      <c r="AE41" s="72"/>
      <c r="AF41" s="72"/>
      <c r="AG41" s="90"/>
      <c r="AH41" s="90"/>
      <c r="AI41" s="95"/>
      <c r="AJ41" s="128"/>
      <c r="BN41" s="1"/>
      <c r="BO41" s="1"/>
    </row>
    <row r="42" spans="1:95" s="1" customFormat="1" x14ac:dyDescent="0.25">
      <c r="A42" s="256"/>
      <c r="B42" s="256"/>
      <c r="C42" s="559"/>
      <c r="H42" s="277"/>
      <c r="I42"/>
      <c r="J42"/>
      <c r="K42"/>
      <c r="L42"/>
      <c r="M42"/>
      <c r="N42"/>
      <c r="O42"/>
      <c r="P42" s="416"/>
      <c r="W42" s="260"/>
      <c r="X42" s="260"/>
      <c r="Y42" s="260"/>
      <c r="AC42" s="261"/>
      <c r="AD42" s="262"/>
      <c r="AE42" s="263"/>
      <c r="AG42" s="262"/>
      <c r="AH42" s="264"/>
      <c r="AI42" s="265"/>
      <c r="AJ42" s="266"/>
      <c r="AL42" s="267"/>
      <c r="AN42" s="268"/>
      <c r="AO42" s="268"/>
      <c r="AQ42" s="415"/>
      <c r="AS42" s="267"/>
      <c r="AT42" s="267"/>
      <c r="AY42" s="416"/>
      <c r="BB42" s="268"/>
      <c r="BG42" s="267"/>
      <c r="BU42" s="267"/>
      <c r="CC42" s="267"/>
    </row>
    <row r="43" spans="1:95" ht="15" customHeight="1" x14ac:dyDescent="0.25">
      <c r="L43" s="269"/>
      <c r="W43" s="270"/>
      <c r="X43" s="271"/>
      <c r="Y43" s="271"/>
      <c r="AE43" s="258"/>
      <c r="AI43" s="272"/>
      <c r="AN43" s="272"/>
      <c r="AO43" s="272"/>
      <c r="AR43" s="1"/>
      <c r="AS43" s="267"/>
      <c r="AT43" s="267"/>
      <c r="AU43" s="1"/>
      <c r="AV43" s="1"/>
      <c r="AW43" s="1"/>
      <c r="AX43" s="1"/>
      <c r="BF43" s="273"/>
      <c r="CK43" s="274"/>
    </row>
    <row r="44" spans="1:95" x14ac:dyDescent="0.25">
      <c r="A44"/>
      <c r="W44" s="271"/>
      <c r="X44" s="275"/>
      <c r="Y44" s="275"/>
      <c r="AC44" s="417"/>
      <c r="AD44" s="417"/>
      <c r="AE44" s="418"/>
      <c r="AG44" s="262"/>
      <c r="AH44" s="276"/>
      <c r="AI44" s="265"/>
      <c r="AJ44" s="419"/>
      <c r="AK44" s="420"/>
      <c r="AL44" s="421"/>
      <c r="AM44" s="421"/>
      <c r="AN44" s="417"/>
      <c r="AO44" s="422"/>
      <c r="AP44" s="423"/>
      <c r="AQ44" s="424"/>
      <c r="AR44" s="417"/>
      <c r="AS44" s="418"/>
      <c r="AT44" s="418"/>
      <c r="AU44" s="417"/>
      <c r="AV44" s="417"/>
      <c r="AW44" s="423"/>
      <c r="AX44" s="423"/>
      <c r="AY44" s="417"/>
      <c r="AZ44" s="418"/>
      <c r="BA44" s="418"/>
      <c r="BB44" s="417"/>
      <c r="BC44" s="417"/>
      <c r="BD44" s="423"/>
      <c r="BE44" s="424"/>
      <c r="BF44" s="417"/>
      <c r="BG44" s="418"/>
      <c r="BH44" s="418"/>
      <c r="BI44" s="417"/>
      <c r="BJ44" s="417"/>
      <c r="BK44" s="423"/>
      <c r="BL44" s="423"/>
      <c r="BM44" s="417"/>
      <c r="BN44" s="418"/>
      <c r="BO44" s="418"/>
      <c r="BP44" s="417"/>
      <c r="BQ44" s="417"/>
      <c r="BR44" s="423"/>
      <c r="BS44" s="423"/>
      <c r="BT44" s="417"/>
      <c r="BU44" s="418"/>
      <c r="BV44" s="418"/>
      <c r="BW44" s="417"/>
      <c r="BX44" s="417"/>
      <c r="BY44" s="90"/>
      <c r="BZ44" s="423"/>
      <c r="CA44" s="423"/>
      <c r="CB44" s="417"/>
      <c r="CC44" s="418"/>
      <c r="CD44" s="418"/>
      <c r="CE44" s="417"/>
      <c r="CF44" s="417"/>
      <c r="CG44" s="417"/>
      <c r="CH44" s="423"/>
      <c r="CI44" s="423"/>
    </row>
    <row r="45" spans="1:95" x14ac:dyDescent="0.25">
      <c r="A45"/>
      <c r="W45" s="271"/>
      <c r="X45" s="275"/>
      <c r="Y45" s="275"/>
      <c r="AC45" s="425"/>
      <c r="AD45" s="417"/>
      <c r="AE45" s="418"/>
      <c r="AG45" s="262"/>
      <c r="AH45" s="262"/>
      <c r="AI45" s="265"/>
      <c r="AJ45" s="419"/>
      <c r="AK45" s="417"/>
      <c r="AL45" s="418"/>
      <c r="AM45" s="418"/>
      <c r="AN45" s="417"/>
      <c r="AO45" s="422"/>
      <c r="AP45" s="423"/>
      <c r="AQ45" s="424"/>
      <c r="AR45" s="417"/>
      <c r="AS45" s="418"/>
      <c r="AT45" s="418"/>
      <c r="AU45" s="417"/>
      <c r="AV45" s="417"/>
      <c r="AW45" s="423"/>
      <c r="AX45" s="423"/>
      <c r="AY45" s="417"/>
      <c r="AZ45" s="418"/>
      <c r="BA45" s="418"/>
      <c r="BB45" s="417"/>
      <c r="BC45" s="417"/>
      <c r="BD45" s="423"/>
      <c r="BE45" s="424"/>
      <c r="BF45" s="417"/>
      <c r="BG45" s="418"/>
      <c r="BH45" s="418"/>
      <c r="BI45" s="417"/>
      <c r="BJ45" s="417"/>
      <c r="BK45" s="423"/>
      <c r="BL45" s="423"/>
      <c r="BM45" s="417"/>
      <c r="BN45" s="418"/>
      <c r="BO45" s="418"/>
      <c r="BP45" s="417"/>
      <c r="BQ45" s="417"/>
      <c r="BR45" s="423"/>
      <c r="BS45" s="423"/>
      <c r="BT45" s="417"/>
      <c r="BU45" s="418"/>
      <c r="BV45" s="418"/>
      <c r="BW45" s="417"/>
      <c r="BX45" s="417"/>
      <c r="BY45" s="423"/>
      <c r="BZ45" s="423"/>
      <c r="CA45" s="423"/>
      <c r="CB45" s="417"/>
      <c r="CC45" s="418"/>
      <c r="CD45" s="418"/>
      <c r="CE45" s="417"/>
      <c r="CF45" s="417"/>
      <c r="CG45" s="423"/>
      <c r="CH45" s="423"/>
      <c r="CI45" s="423"/>
    </row>
    <row r="46" spans="1:95" x14ac:dyDescent="0.25">
      <c r="W46" s="271"/>
      <c r="X46" s="275"/>
      <c r="Y46" s="275"/>
      <c r="BD46" t="s">
        <v>171</v>
      </c>
    </row>
    <row r="47" spans="1:95" x14ac:dyDescent="0.25">
      <c r="B47" s="555"/>
      <c r="W47" s="271"/>
      <c r="X47" s="275"/>
      <c r="Y47" s="275"/>
    </row>
    <row r="48" spans="1:95" x14ac:dyDescent="0.25">
      <c r="A48" s="556"/>
      <c r="B48" s="555"/>
      <c r="BX48" s="269"/>
    </row>
    <row r="49" spans="1:84" x14ac:dyDescent="0.25">
      <c r="A49" s="557"/>
      <c r="B49" s="555"/>
    </row>
    <row r="51" spans="1:84" x14ac:dyDescent="0.25">
      <c r="A51" s="558"/>
    </row>
    <row r="53" spans="1:84" x14ac:dyDescent="0.25">
      <c r="Z53" s="258"/>
    </row>
    <row r="61" spans="1:84" x14ac:dyDescent="0.25">
      <c r="CF61" cm="1">
        <f t="array" aca="1" ref="CF61" ca="1">CF61:CF63</f>
        <v>0</v>
      </c>
    </row>
  </sheetData>
  <autoFilter ref="A3:CU42" xr:uid="{00000000-0001-0000-0000-000000000000}"/>
  <mergeCells count="16">
    <mergeCell ref="A4:H4"/>
    <mergeCell ref="A1:AX1"/>
    <mergeCell ref="AY1:CT1"/>
    <mergeCell ref="A2:H2"/>
    <mergeCell ref="I2:O2"/>
    <mergeCell ref="P2:V2"/>
    <mergeCell ref="W2:AC2"/>
    <mergeCell ref="AD2:AJ2"/>
    <mergeCell ref="AK2:AQ2"/>
    <mergeCell ref="AR2:AX2"/>
    <mergeCell ref="AY2:BE2"/>
    <mergeCell ref="BF2:BL2"/>
    <mergeCell ref="BM2:BS2"/>
    <mergeCell ref="BT2:CA2"/>
    <mergeCell ref="CB2:CI2"/>
    <mergeCell ref="CJ2:CQ2"/>
  </mergeCells>
  <conditionalFormatting sqref="A10">
    <cfRule type="containsText" dxfId="943" priority="944" stopIfTrue="1" operator="containsText" text="ok">
      <formula>NOT(ISERROR(SEARCH("ok",A10)))</formula>
    </cfRule>
  </conditionalFormatting>
  <conditionalFormatting sqref="D10 D12">
    <cfRule type="containsText" dxfId="942" priority="797" stopIfTrue="1" operator="containsText" text="ok">
      <formula>NOT(ISERROR(SEARCH("ok",D10)))</formula>
    </cfRule>
  </conditionalFormatting>
  <conditionalFormatting sqref="D28">
    <cfRule type="containsText" dxfId="941" priority="539" stopIfTrue="1" operator="containsText" text="ok">
      <formula>NOT(ISERROR(SEARCH("ok",D28)))</formula>
    </cfRule>
  </conditionalFormatting>
  <conditionalFormatting sqref="AK14:AK15 AR14:AR15 AC14:AC27 AE15 AK17:AK21 AC28:AD28 CJ33:CJ36 AK34:AK36 W5:W12 AY5:AY12 BF5:BF12 BM5:BM12 BT5:BT12 CB5:CB12 CJ5:CJ12 AY19:AY34 AK23:AK32 P28 I14:I31 W29:W41 AC29:AC41 AR17:AR37 BF14:BF37 BM14:BM37 BT14:BT37 I34:I40">
    <cfRule type="cellIs" dxfId="940" priority="586" operator="greaterThan">
      <formula>11000000</formula>
    </cfRule>
  </conditionalFormatting>
  <conditionalFormatting sqref="X17:Y27 AL18:AM21 CK18:CM27 AS19:AT27 AZ19:AZ27 BN20:BN27 AE17:AF27 BA32:BA33 AZ34:BA36 CL34:CL36 BH32:BH33 BG34:BH34 BG19:BH22 BG23:BG24 AL23:AM24 AL25 BG25:BH27 AL26:AM27 CK14:CM16 BW18:BW19 BU20:BW21 BV25:BW25 AE14 BK19:BK30 Y5:Y10 BU5:BW7 CC5:CE6 AS29:AT36 BN30:BO36 AZ31:AZ33 AL31:AL34 J29:J31 BW32:BW36 AE29:AF41 X29:Y41 BG28:BG33 BU31:BU36 CC32:CC33 CK32:CL33 J34:J40">
    <cfRule type="cellIs" dxfId="939" priority="790" operator="greaterThan">
      <formula>10</formula>
    </cfRule>
  </conditionalFormatting>
  <conditionalFormatting sqref="AE5:AE6 AZ5:AZ12 BN5:BN11 BU5:BU11 CC5:CC11 J29:J31 BG31:BG37 X29:X41 AE26:AE41 BW32 J34:J40">
    <cfRule type="cellIs" dxfId="938" priority="597" operator="greaterThan">
      <formula>9999.99</formula>
    </cfRule>
  </conditionalFormatting>
  <conditionalFormatting sqref="J28">
    <cfRule type="cellIs" dxfId="937" priority="266" operator="greaterThan">
      <formula>9999.99</formula>
    </cfRule>
  </conditionalFormatting>
  <conditionalFormatting sqref="X5:X6 BG5:BG6 X29:Y41">
    <cfRule type="cellIs" dxfId="936" priority="274" operator="greaterThan">
      <formula>9999.99</formula>
    </cfRule>
    <cfRule type="cellIs" dxfId="935" priority="275" operator="greaterThan">
      <formula>10</formula>
    </cfRule>
  </conditionalFormatting>
  <conditionalFormatting sqref="Y5:Y12 BV5:BV7 CL5:CL11">
    <cfRule type="cellIs" dxfId="934" priority="585" operator="equal">
      <formula>0</formula>
    </cfRule>
    <cfRule type="cellIs" dxfId="933" priority="596" operator="greaterThan">
      <formula>0</formula>
    </cfRule>
  </conditionalFormatting>
  <conditionalFormatting sqref="CD5:CD11 Y29:Y41 AF29:AF41 BA29:BA36 BV29:BV36 AT29:AT36 BH31:BH36 CL29:CL32">
    <cfRule type="cellIs" dxfId="932" priority="271" operator="greaterThan">
      <formula>0</formula>
    </cfRule>
  </conditionalFormatting>
  <conditionalFormatting sqref="CD5:CD12 K40 K29:K31 AM29:AM36 AT29:AT36 BA29:BA36 BH29:BH36 CL29:CL36 Y29:Y41 AF29:AF41 CD29:CD36 K34:K38">
    <cfRule type="cellIs" dxfId="931" priority="265" operator="equal">
      <formula>0</formula>
    </cfRule>
  </conditionalFormatting>
  <conditionalFormatting sqref="AM18:AM21 AT22:AT27 BV25:BV27 BV20:BV23 CL18:CL27 CL14:CL16 Y17:Y27 BH18:BH22 AF22:AF24 AM23:AM24 BH25:BH27 AF26:AF27 AM26:AM27 AM14:AM15">
    <cfRule type="cellIs" dxfId="930" priority="867" operator="greaterThan">
      <formula>0</formula>
    </cfRule>
  </conditionalFormatting>
  <conditionalFormatting sqref="L5:L12 Z5:Z12 AG5:AG12 BB5:BB7 BP5:BP7 BX5:BX7 CN5:CN10 AU18:AU37 BI18:BI37 BB22:BB37 L14:L31 Z14:Z41 AG14:AG41 AN14:AN36 BP29:BP33 BX18:BX36 CF14:CF40 CN14:CN36 L34:L40 S5:S12 S14:S36">
    <cfRule type="cellIs" dxfId="929" priority="587" operator="greaterThan">
      <formula>4400000000</formula>
    </cfRule>
  </conditionalFormatting>
  <conditionalFormatting sqref="M7 BQ26:BR27 BJ5 BQ5:BR5 BY5 CG5 CO5:CP10 M29:N38 AA29:AB41 AH29:AJ41">
    <cfRule type="cellIs" dxfId="928" priority="938" operator="greaterThan">
      <formula>100000000</formula>
    </cfRule>
  </conditionalFormatting>
  <conditionalFormatting sqref="M8 AO14:AP16 CO14:CP16 AO18:AP25 BJ18:BJ25 CO18:CP25 AV21:AV23 AW21:AW27 AH22:AM22 AH23:AI23 AI24 BY24:BZ25 AV25 T38 BZ5:BZ11 T28:U28 M28:N38 AA16:AB41 AH29:AJ41 AO28:AP33 CO28:CP34 BC28:BD36 BJ32:BJ34 CG14:CH40 BQ32:BR33 T29:T34">
    <cfRule type="cellIs" dxfId="927" priority="937" operator="greaterThan">
      <formula>5000000000</formula>
    </cfRule>
  </conditionalFormatting>
  <conditionalFormatting sqref="M9">
    <cfRule type="cellIs" dxfId="926" priority="940" operator="greaterThan">
      <formula>100000000</formula>
    </cfRule>
  </conditionalFormatting>
  <conditionalFormatting sqref="M11">
    <cfRule type="cellIs" dxfId="925" priority="609" operator="greaterThan">
      <formula>10</formula>
    </cfRule>
  </conditionalFormatting>
  <conditionalFormatting sqref="M16">
    <cfRule type="cellIs" dxfId="924" priority="792" operator="greaterThan">
      <formula>100000000</formula>
    </cfRule>
  </conditionalFormatting>
  <conditionalFormatting sqref="M6:N6 L5 N5">
    <cfRule type="cellIs" dxfId="923" priority="518" operator="greaterThan">
      <formula>5000000000</formula>
    </cfRule>
  </conditionalFormatting>
  <conditionalFormatting sqref="M12:N12">
    <cfRule type="cellIs" dxfId="922" priority="613" operator="greaterThan">
      <formula>5000000000</formula>
    </cfRule>
  </conditionalFormatting>
  <conditionalFormatting sqref="M14:N14">
    <cfRule type="cellIs" dxfId="921" priority="791" operator="greaterThan">
      <formula>100000000</formula>
    </cfRule>
  </conditionalFormatting>
  <conditionalFormatting sqref="M15:N15">
    <cfRule type="cellIs" dxfId="920" priority="733" operator="greaterThan">
      <formula>5000000000</formula>
    </cfRule>
  </conditionalFormatting>
  <conditionalFormatting sqref="M17:N25">
    <cfRule type="cellIs" dxfId="919" priority="272" operator="greaterThan">
      <formula>5000000000</formula>
    </cfRule>
  </conditionalFormatting>
  <conditionalFormatting sqref="M26:N27">
    <cfRule type="cellIs" dxfId="918" priority="943" operator="greaterThan">
      <formula>100000000</formula>
    </cfRule>
  </conditionalFormatting>
  <conditionalFormatting sqref="M40:N40 M39">
    <cfRule type="cellIs" dxfId="917" priority="278" operator="greaterThan">
      <formula>5000000000</formula>
    </cfRule>
  </conditionalFormatting>
  <conditionalFormatting sqref="M40:N40 M39">
    <cfRule type="cellIs" dxfId="916" priority="276" operator="greaterThan">
      <formula>100000000</formula>
    </cfRule>
  </conditionalFormatting>
  <conditionalFormatting sqref="N7:N11">
    <cfRule type="cellIs" dxfId="915" priority="520" operator="greaterThan">
      <formula>5000000000</formula>
    </cfRule>
  </conditionalFormatting>
  <conditionalFormatting sqref="N16">
    <cfRule type="cellIs" dxfId="914" priority="793" operator="greaterThan">
      <formula>5000000000</formula>
    </cfRule>
  </conditionalFormatting>
  <conditionalFormatting sqref="AQ14:AQ16 BS14:BS27 CA14:CA27 AJ23:AJ26 AJ28 BE39:BE40 O5:O12 BE5:BE12 BL5:BL8 BS5:BS12 CQ5:CQ12 O40 AX14:AX39 AQ18:AQ36 BL19:BL40 BS29:BS40 CA29:CA40 O14:O38 AD29:AD41 BE14:BE37 CI29:CI40 CQ29:CQ40">
    <cfRule type="cellIs" dxfId="913" priority="588" operator="greaterThan">
      <formula>43551</formula>
    </cfRule>
  </conditionalFormatting>
  <conditionalFormatting sqref="Q28">
    <cfRule type="cellIs" dxfId="912" priority="732" operator="greaterThan">
      <formula>10</formula>
    </cfRule>
  </conditionalFormatting>
  <conditionalFormatting sqref="X23:X27 AS34:AS37 AZ34:AZ37 BN34:BN37 AE23:AE24 BG23:BG25 AS23:AS27 AZ23:AZ27 AL23:AL28 CK23:CK28 BN23:BN29 Q28 AL34 CK34:CK36">
    <cfRule type="cellIs" dxfId="911" priority="521" operator="greaterThan">
      <formula>9999.99</formula>
    </cfRule>
  </conditionalFormatting>
  <conditionalFormatting sqref="BU20 BQ33">
    <cfRule type="cellIs" dxfId="910" priority="947" operator="greaterThan">
      <formula>10</formula>
    </cfRule>
  </conditionalFormatting>
  <conditionalFormatting sqref="AM14:AM16 AT14:AT16 Y14:Y27 AF14:AF27 AM18:AM21 AT18:AT27 AM23:AM24 AM26:AM27">
    <cfRule type="cellIs" dxfId="909" priority="512" operator="equal">
      <formula>0</formula>
    </cfRule>
  </conditionalFormatting>
  <conditionalFormatting sqref="BO19:BO27">
    <cfRule type="cellIs" dxfId="908" priority="511" operator="greaterThan">
      <formula>10</formula>
    </cfRule>
  </conditionalFormatting>
  <conditionalFormatting sqref="R28">
    <cfRule type="cellIs" dxfId="907" priority="524" operator="greaterThan">
      <formula>11000000</formula>
    </cfRule>
  </conditionalFormatting>
  <conditionalFormatting sqref="BA38:BA40 AT39:AT40 BH39:BH40 BO39:BO40 CL39:CL40">
    <cfRule type="cellIs" dxfId="906" priority="784" operator="equal">
      <formula>0</formula>
    </cfRule>
  </conditionalFormatting>
  <conditionalFormatting sqref="AT38 BW38 CM38">
    <cfRule type="cellIs" dxfId="905" priority="489" operator="greaterThan">
      <formula>43551</formula>
    </cfRule>
  </conditionalFormatting>
  <conditionalFormatting sqref="S38 AN38 AU38 BB38 BI38 BP38 BX38">
    <cfRule type="cellIs" dxfId="904" priority="502" operator="greaterThan">
      <formula>11000000</formula>
    </cfRule>
  </conditionalFormatting>
  <conditionalFormatting sqref="T32">
    <cfRule type="cellIs" dxfId="903" priority="507" operator="greaterThan">
      <formula>10</formula>
    </cfRule>
  </conditionalFormatting>
  <conditionalFormatting sqref="T39:T40">
    <cfRule type="cellIs" dxfId="902" priority="720" operator="greaterThan">
      <formula>100000000</formula>
    </cfRule>
  </conditionalFormatting>
  <conditionalFormatting sqref="T35:T36">
    <cfRule type="cellIs" dxfId="901" priority="931" operator="greaterThan">
      <formula>4400000000</formula>
    </cfRule>
  </conditionalFormatting>
  <conditionalFormatting sqref="T38 AO38:AP38 BC38 BJ38">
    <cfRule type="cellIs" dxfId="900" priority="494" operator="greaterThan">
      <formula>10</formula>
    </cfRule>
  </conditionalFormatting>
  <conditionalFormatting sqref="T39:T40">
    <cfRule type="cellIs" dxfId="899" priority="719" operator="greaterThan">
      <formula>5000000000</formula>
    </cfRule>
  </conditionalFormatting>
  <conditionalFormatting sqref="T11:U11">
    <cfRule type="cellIs" dxfId="898" priority="590" operator="greaterThan">
      <formula>10</formula>
    </cfRule>
  </conditionalFormatting>
  <conditionalFormatting sqref="U5:U6 T12">
    <cfRule type="cellIs" dxfId="897" priority="721" operator="greaterThan">
      <formula>5000000000</formula>
    </cfRule>
  </conditionalFormatting>
  <conditionalFormatting sqref="V28">
    <cfRule type="cellIs" dxfId="896" priority="534" operator="greaterThan">
      <formula>43551</formula>
    </cfRule>
  </conditionalFormatting>
  <conditionalFormatting sqref="AQ38 BE38 BT38 CJ38">
    <cfRule type="cellIs" dxfId="895" priority="487" operator="greaterThan">
      <formula>4400000000</formula>
    </cfRule>
  </conditionalFormatting>
  <conditionalFormatting sqref="V29:V40">
    <cfRule type="cellIs" dxfId="894" priority="753" operator="greaterThan">
      <formula>43551</formula>
    </cfRule>
  </conditionalFormatting>
  <conditionalFormatting sqref="W14:W27">
    <cfRule type="cellIs" dxfId="893" priority="485" operator="greaterThan">
      <formula>11000000</formula>
    </cfRule>
  </conditionalFormatting>
  <conditionalFormatting sqref="X7">
    <cfRule type="cellIs" dxfId="892" priority="717" operator="greaterThan">
      <formula>1</formula>
    </cfRule>
  </conditionalFormatting>
  <conditionalFormatting sqref="X8:X9">
    <cfRule type="cellIs" dxfId="891" priority="925" operator="greaterThan">
      <formula>9999.99</formula>
    </cfRule>
    <cfRule type="cellIs" dxfId="890" priority="926" operator="greaterThan">
      <formula>10</formula>
    </cfRule>
  </conditionalFormatting>
  <conditionalFormatting sqref="X10">
    <cfRule type="cellIs" dxfId="889" priority="928" operator="greaterThan">
      <formula>1</formula>
    </cfRule>
  </conditionalFormatting>
  <conditionalFormatting sqref="X12">
    <cfRule type="cellIs" dxfId="888" priority="475" operator="greaterThan">
      <formula>9999.99</formula>
    </cfRule>
    <cfRule type="cellIs" dxfId="887" priority="476" operator="greaterThan">
      <formula>10</formula>
    </cfRule>
  </conditionalFormatting>
  <conditionalFormatting sqref="X14:X17">
    <cfRule type="cellIs" dxfId="886" priority="482" operator="greaterThan">
      <formula>10</formula>
    </cfRule>
  </conditionalFormatting>
  <conditionalFormatting sqref="X17:X27 AL29:AL31 AS31 AL35:AL36 AL20 AS20 AZ20 BN20 CK20 AZ29:AZ31">
    <cfRule type="cellIs" dxfId="885" priority="787" operator="greaterThan">
      <formula>9999.99</formula>
    </cfRule>
  </conditionalFormatting>
  <conditionalFormatting sqref="X29 X39">
    <cfRule type="cellIs" dxfId="884" priority="237" operator="greaterThan">
      <formula>10</formula>
    </cfRule>
  </conditionalFormatting>
  <conditionalFormatting sqref="X34:X38 AE34:AE35 AE37:AE38">
    <cfRule type="cellIs" dxfId="883" priority="243" operator="greaterThan">
      <formula>9999.99</formula>
    </cfRule>
  </conditionalFormatting>
  <conditionalFormatting sqref="X11:Y11">
    <cfRule type="cellIs" dxfId="882" priority="575" operator="greaterThan">
      <formula>9999.99</formula>
    </cfRule>
    <cfRule type="cellIs" dxfId="881" priority="576" operator="greaterThan">
      <formula>10</formula>
    </cfRule>
  </conditionalFormatting>
  <conditionalFormatting sqref="X17:Y27 J28">
    <cfRule type="cellIs" dxfId="880" priority="549" operator="greaterThan">
      <formula>10</formula>
    </cfRule>
  </conditionalFormatting>
  <conditionalFormatting sqref="X17:Y27">
    <cfRule type="cellIs" dxfId="879" priority="775" operator="greaterThan">
      <formula>9999.99</formula>
    </cfRule>
    <cfRule type="cellIs" dxfId="878" priority="776" operator="greaterThan">
      <formula>10</formula>
    </cfRule>
  </conditionalFormatting>
  <conditionalFormatting sqref="X24:Y24">
    <cfRule type="cellIs" dxfId="877" priority="478" operator="greaterThan">
      <formula>10</formula>
    </cfRule>
  </conditionalFormatting>
  <conditionalFormatting sqref="X35:Y35">
    <cfRule type="cellIs" dxfId="876" priority="235" operator="greaterThan">
      <formula>10</formula>
    </cfRule>
  </conditionalFormatting>
  <conditionalFormatting sqref="Y12">
    <cfRule type="cellIs" dxfId="875" priority="725" operator="greaterThan">
      <formula>10</formula>
    </cfRule>
  </conditionalFormatting>
  <conditionalFormatting sqref="Y14:Y17">
    <cfRule type="cellIs" dxfId="874" priority="484" operator="greaterThan">
      <formula>10</formula>
    </cfRule>
  </conditionalFormatting>
  <conditionalFormatting sqref="Y14:Y27">
    <cfRule type="cellIs" dxfId="873" priority="483" operator="greaterThan">
      <formula>0</formula>
    </cfRule>
  </conditionalFormatting>
  <conditionalFormatting sqref="Y21">
    <cfRule type="cellIs" dxfId="872" priority="548" operator="greaterThan">
      <formula>9999.99</formula>
    </cfRule>
  </conditionalFormatting>
  <conditionalFormatting sqref="Y28">
    <cfRule type="cellIs" dxfId="871" priority="525" operator="greaterThan">
      <formula>11000000</formula>
    </cfRule>
  </conditionalFormatting>
  <conditionalFormatting sqref="Y29 Y39:Y41">
    <cfRule type="cellIs" dxfId="870" priority="239" operator="greaterThan">
      <formula>10</formula>
    </cfRule>
  </conditionalFormatting>
  <conditionalFormatting sqref="AF33:AF35 AF37:AF38">
    <cfRule type="cellIs" dxfId="869" priority="262" operator="greaterThan">
      <formula>0</formula>
    </cfRule>
  </conditionalFormatting>
  <conditionalFormatting sqref="Y32">
    <cfRule type="cellIs" dxfId="868" priority="244" operator="greaterThan">
      <formula>9999.99</formula>
    </cfRule>
  </conditionalFormatting>
  <conditionalFormatting sqref="AA6">
    <cfRule type="cellIs" dxfId="867" priority="929" operator="greaterThan">
      <formula>5000000000</formula>
    </cfRule>
  </conditionalFormatting>
  <conditionalFormatting sqref="AA8">
    <cfRule type="cellIs" dxfId="866" priority="927" operator="greaterThan">
      <formula>5000000000</formula>
    </cfRule>
  </conditionalFormatting>
  <conditionalFormatting sqref="AA9">
    <cfRule type="cellIs" dxfId="865" priority="930" operator="greaterThan">
      <formula>100000000</formula>
    </cfRule>
  </conditionalFormatting>
  <conditionalFormatting sqref="AA11:AA12">
    <cfRule type="cellIs" dxfId="864" priority="577" operator="greaterThan">
      <formula>100000000</formula>
    </cfRule>
  </conditionalFormatting>
  <conditionalFormatting sqref="AA14:AA15">
    <cfRule type="cellIs" dxfId="863" priority="716" operator="greaterThan">
      <formula>100000000</formula>
    </cfRule>
  </conditionalFormatting>
  <conditionalFormatting sqref="AA17">
    <cfRule type="cellIs" dxfId="862" priority="459" operator="greaterThan">
      <formula>100000000</formula>
    </cfRule>
  </conditionalFormatting>
  <conditionalFormatting sqref="AA25">
    <cfRule type="cellIs" dxfId="861" priority="480" operator="greaterThan">
      <formula>100000000</formula>
    </cfRule>
  </conditionalFormatting>
  <conditionalFormatting sqref="AA29 AA39">
    <cfRule type="cellIs" dxfId="860" priority="231" operator="greaterThan">
      <formula>100000000</formula>
    </cfRule>
  </conditionalFormatting>
  <conditionalFormatting sqref="AA36">
    <cfRule type="cellIs" dxfId="859" priority="236" operator="greaterThan">
      <formula>100000000</formula>
    </cfRule>
  </conditionalFormatting>
  <conditionalFormatting sqref="AA5">
    <cfRule type="cellIs" dxfId="858" priority="653" operator="greaterThan">
      <formula>100000000</formula>
    </cfRule>
  </conditionalFormatting>
  <conditionalFormatting sqref="AA10:AB10">
    <cfRule type="cellIs" dxfId="857" priority="774" operator="greaterThan">
      <formula>5000000000</formula>
    </cfRule>
  </conditionalFormatting>
  <conditionalFormatting sqref="AA17:AB27">
    <cfRule type="cellIs" dxfId="856" priority="852" operator="greaterThan">
      <formula>100000000</formula>
    </cfRule>
  </conditionalFormatting>
  <conditionalFormatting sqref="AB5:AB9">
    <cfRule type="cellIs" dxfId="855" priority="474" operator="greaterThan">
      <formula>43551</formula>
    </cfRule>
  </conditionalFormatting>
  <conditionalFormatting sqref="AB11:AB12">
    <cfRule type="cellIs" dxfId="854" priority="582" operator="greaterThan">
      <formula>5000000000</formula>
    </cfRule>
  </conditionalFormatting>
  <conditionalFormatting sqref="AB14:AB15">
    <cfRule type="cellIs" dxfId="853" priority="794" operator="greaterThan">
      <formula>5000000000</formula>
    </cfRule>
  </conditionalFormatting>
  <conditionalFormatting sqref="AB17">
    <cfRule type="cellIs" dxfId="852" priority="460" operator="greaterThan">
      <formula>5000000000</formula>
    </cfRule>
  </conditionalFormatting>
  <conditionalFormatting sqref="AB29 AB39">
    <cfRule type="cellIs" dxfId="851" priority="232" operator="greaterThan">
      <formula>5000000000</formula>
    </cfRule>
  </conditionalFormatting>
  <conditionalFormatting sqref="AC11:AC12">
    <cfRule type="cellIs" dxfId="850" priority="472" operator="greaterThan">
      <formula>11000000</formula>
    </cfRule>
  </conditionalFormatting>
  <conditionalFormatting sqref="AC23:AC24">
    <cfRule type="cellIs" dxfId="849" priority="473" operator="greaterThan">
      <formula>43551</formula>
    </cfRule>
  </conditionalFormatting>
  <conditionalFormatting sqref="AC34:AC35">
    <cfRule type="cellIs" dxfId="848" priority="234" operator="greaterThan">
      <formula>43551</formula>
    </cfRule>
  </conditionalFormatting>
  <conditionalFormatting sqref="AD5:AD11">
    <cfRule type="cellIs" dxfId="847" priority="471" operator="greaterThan">
      <formula>43551</formula>
    </cfRule>
  </conditionalFormatting>
  <conditionalFormatting sqref="AD12">
    <cfRule type="cellIs" dxfId="846" priority="467" operator="greaterThan">
      <formula>11000000</formula>
    </cfRule>
  </conditionalFormatting>
  <conditionalFormatting sqref="AD14:AD27">
    <cfRule type="cellIs" dxfId="845" priority="470" operator="greaterThan">
      <formula>43551</formula>
    </cfRule>
  </conditionalFormatting>
  <conditionalFormatting sqref="AD25:AF25">
    <cfRule type="cellIs" dxfId="844" priority="434" operator="greaterThan">
      <formula>9999.99</formula>
    </cfRule>
    <cfRule type="cellIs" dxfId="843" priority="435" operator="greaterThan">
      <formula>10</formula>
    </cfRule>
  </conditionalFormatting>
  <conditionalFormatting sqref="AD36:AF36">
    <cfRule type="cellIs" dxfId="842" priority="227" operator="greaterThan">
      <formula>9999.99</formula>
    </cfRule>
    <cfRule type="cellIs" dxfId="841" priority="228" operator="greaterThan">
      <formula>10</formula>
    </cfRule>
  </conditionalFormatting>
  <conditionalFormatting sqref="AE8:AE9">
    <cfRule type="cellIs" dxfId="840" priority="915" operator="greaterThan">
      <formula>9999.99</formula>
    </cfRule>
    <cfRule type="cellIs" dxfId="839" priority="916" operator="greaterThan">
      <formula>10</formula>
    </cfRule>
  </conditionalFormatting>
  <conditionalFormatting sqref="AE10">
    <cfRule type="cellIs" dxfId="838" priority="918" operator="greaterThan">
      <formula>1</formula>
    </cfRule>
  </conditionalFormatting>
  <conditionalFormatting sqref="AE11:AE12">
    <cfRule type="cellIs" dxfId="837" priority="468" operator="greaterThan">
      <formula>9999.99</formula>
    </cfRule>
    <cfRule type="cellIs" dxfId="836" priority="469" operator="greaterThan">
      <formula>10</formula>
    </cfRule>
  </conditionalFormatting>
  <conditionalFormatting sqref="AE17:AE27">
    <cfRule type="cellIs" dxfId="835" priority="715" operator="greaterThan">
      <formula>9999.99</formula>
    </cfRule>
  </conditionalFormatting>
  <conditionalFormatting sqref="AE17:AE28">
    <cfRule type="cellIs" dxfId="834" priority="547" operator="greaterThan">
      <formula>10</formula>
    </cfRule>
  </conditionalFormatting>
  <conditionalFormatting sqref="AE5:AF7">
    <cfRule type="cellIs" dxfId="833" priority="864" operator="greaterThan">
      <formula>10</formula>
    </cfRule>
  </conditionalFormatting>
  <conditionalFormatting sqref="AE17:AF27 T31 BQ31 BY31 CK31 BJ31:BK31 CO31:CP31 AL35:AL36">
    <cfRule type="cellIs" dxfId="832" priority="726" operator="greaterThan">
      <formula>10</formula>
    </cfRule>
  </conditionalFormatting>
  <conditionalFormatting sqref="AE17:AF27">
    <cfRule type="cellIs" dxfId="831" priority="773" operator="greaterThan">
      <formula>9999.99</formula>
    </cfRule>
  </conditionalFormatting>
  <conditionalFormatting sqref="AE29:AF41">
    <cfRule type="cellIs" dxfId="830" priority="253" operator="greaterThan">
      <formula>10</formula>
    </cfRule>
    <cfRule type="cellIs" dxfId="829" priority="254" operator="greaterThan">
      <formula>9999.99</formula>
    </cfRule>
  </conditionalFormatting>
  <conditionalFormatting sqref="AF5:AF12">
    <cfRule type="cellIs" dxfId="828" priority="464" operator="equal">
      <formula>0</formula>
    </cfRule>
    <cfRule type="cellIs" dxfId="827" priority="465" operator="greaterThan">
      <formula>0</formula>
    </cfRule>
  </conditionalFormatting>
  <conditionalFormatting sqref="AF8:AF12">
    <cfRule type="cellIs" dxfId="826" priority="466" operator="greaterThan">
      <formula>10</formula>
    </cfRule>
  </conditionalFormatting>
  <conditionalFormatting sqref="AF14:AF16">
    <cfRule type="cellIs" dxfId="825" priority="724" operator="greaterThan">
      <formula>10</formula>
    </cfRule>
  </conditionalFormatting>
  <conditionalFormatting sqref="AF14:AF17">
    <cfRule type="cellIs" dxfId="824" priority="723" operator="greaterThan">
      <formula>0</formula>
    </cfRule>
  </conditionalFormatting>
  <conditionalFormatting sqref="AF28">
    <cfRule type="cellIs" dxfId="823" priority="526" operator="greaterThan">
      <formula>11000000</formula>
    </cfRule>
  </conditionalFormatting>
  <conditionalFormatting sqref="AF29 AF39">
    <cfRule type="cellIs" dxfId="822" priority="252" operator="greaterThan">
      <formula>0</formula>
    </cfRule>
  </conditionalFormatting>
  <conditionalFormatting sqref="AG24:AH24">
    <cfRule type="cellIs" dxfId="821" priority="429" operator="greaterThan">
      <formula>4400000000</formula>
    </cfRule>
  </conditionalFormatting>
  <conditionalFormatting sqref="AG35:AH35">
    <cfRule type="cellIs" dxfId="820" priority="226" operator="greaterThan">
      <formula>4400000000</formula>
    </cfRule>
  </conditionalFormatting>
  <conditionalFormatting sqref="AH8">
    <cfRule type="cellIs" dxfId="819" priority="462" operator="greaterThan">
      <formula>5000000000</formula>
    </cfRule>
  </conditionalFormatting>
  <conditionalFormatting sqref="AH10 AH11:AI11">
    <cfRule type="cellIs" dxfId="818" priority="574" operator="greaterThan">
      <formula>5000000000</formula>
    </cfRule>
  </conditionalFormatting>
  <conditionalFormatting sqref="AH12">
    <cfRule type="cellIs" dxfId="817" priority="612" operator="greaterThan">
      <formula>5000000000</formula>
    </cfRule>
  </conditionalFormatting>
  <conditionalFormatting sqref="AH14:AH17">
    <cfRule type="cellIs" dxfId="816" priority="714" operator="greaterThan">
      <formula>5000000000</formula>
    </cfRule>
  </conditionalFormatting>
  <conditionalFormatting sqref="AH5:AI5">
    <cfRule type="cellIs" dxfId="815" priority="922" operator="greaterThan">
      <formula>100000000</formula>
    </cfRule>
  </conditionalFormatting>
  <conditionalFormatting sqref="AH6:AI6">
    <cfRule type="cellIs" dxfId="814" priority="919" operator="greaterThan">
      <formula>5000000000</formula>
    </cfRule>
  </conditionalFormatting>
  <conditionalFormatting sqref="AH26:AI26 AH27">
    <cfRule type="cellIs" dxfId="813" priority="921" operator="greaterThan">
      <formula>100000000</formula>
    </cfRule>
  </conditionalFormatting>
  <conditionalFormatting sqref="AH28:AI29 AH39:AI39">
    <cfRule type="cellIs" dxfId="812" priority="229" operator="greaterThan">
      <formula>5000000000</formula>
    </cfRule>
  </conditionalFormatting>
  <conditionalFormatting sqref="AH34:AI34 AI35">
    <cfRule type="cellIs" dxfId="811" priority="264" operator="greaterThan">
      <formula>5000000000</formula>
    </cfRule>
  </conditionalFormatting>
  <conditionalFormatting sqref="AH37:AI37 AH38">
    <cfRule type="cellIs" dxfId="810" priority="263" operator="greaterThan">
      <formula>100000000</formula>
    </cfRule>
  </conditionalFormatting>
  <conditionalFormatting sqref="AH7:AJ7">
    <cfRule type="cellIs" dxfId="809" priority="917" operator="greaterThan">
      <formula>100000000</formula>
    </cfRule>
  </conditionalFormatting>
  <conditionalFormatting sqref="AH9:AJ9">
    <cfRule type="cellIs" dxfId="808" priority="920" operator="greaterThan">
      <formula>100000000</formula>
    </cfRule>
  </conditionalFormatting>
  <conditionalFormatting sqref="AH17:AJ27">
    <cfRule type="cellIs" dxfId="807" priority="851" operator="greaterThan">
      <formula>100000000</formula>
    </cfRule>
  </conditionalFormatting>
  <conditionalFormatting sqref="AI10">
    <cfRule type="cellIs" dxfId="806" priority="461" operator="greaterThan">
      <formula>100000000</formula>
    </cfRule>
  </conditionalFormatting>
  <conditionalFormatting sqref="AI12">
    <cfRule type="cellIs" dxfId="805" priority="611" operator="greaterThan">
      <formula>4400000000</formula>
    </cfRule>
  </conditionalFormatting>
  <conditionalFormatting sqref="AI14:AI15">
    <cfRule type="cellIs" dxfId="804" priority="713" operator="greaterThan">
      <formula>4400000000</formula>
    </cfRule>
  </conditionalFormatting>
  <conditionalFormatting sqref="AI16:AI17">
    <cfRule type="cellIs" dxfId="803" priority="437" operator="greaterThan">
      <formula>5000000000</formula>
    </cfRule>
  </conditionalFormatting>
  <conditionalFormatting sqref="AI8:AJ8">
    <cfRule type="cellIs" dxfId="802" priority="431" operator="greaterThan">
      <formula>100000000</formula>
    </cfRule>
  </conditionalFormatting>
  <conditionalFormatting sqref="AI27:AJ27">
    <cfRule type="cellIs" dxfId="801" priority="711" operator="greaterThan">
      <formula>4400000000</formula>
    </cfRule>
  </conditionalFormatting>
  <conditionalFormatting sqref="AI38:AJ38">
    <cfRule type="cellIs" dxfId="800" priority="249" operator="greaterThan">
      <formula>4400000000</formula>
    </cfRule>
  </conditionalFormatting>
  <conditionalFormatting sqref="AJ5:AJ6">
    <cfRule type="cellIs" dxfId="799" priority="583" operator="greaterThan">
      <formula>43551</formula>
    </cfRule>
  </conditionalFormatting>
  <conditionalFormatting sqref="AJ10:AJ12 AJ14">
    <cfRule type="cellIs" dxfId="798" priority="432" operator="greaterThan">
      <formula>100000000</formula>
    </cfRule>
  </conditionalFormatting>
  <conditionalFormatting sqref="AJ15">
    <cfRule type="cellIs" dxfId="797" priority="712" operator="greaterThan">
      <formula>4400000000</formula>
    </cfRule>
  </conditionalFormatting>
  <conditionalFormatting sqref="AJ17">
    <cfRule type="cellIs" dxfId="796" priority="455" operator="greaterThan">
      <formula>10</formula>
    </cfRule>
  </conditionalFormatting>
  <conditionalFormatting sqref="AJ29 AJ39">
    <cfRule type="cellIs" dxfId="795" priority="230" operator="greaterThan">
      <formula>10</formula>
    </cfRule>
  </conditionalFormatting>
  <conditionalFormatting sqref="AJ34:AJ37">
    <cfRule type="cellIs" dxfId="794" priority="248" operator="greaterThan">
      <formula>43551</formula>
    </cfRule>
  </conditionalFormatting>
  <conditionalFormatting sqref="AJ16:AK16">
    <cfRule type="cellIs" dxfId="793" priority="425" operator="greaterThan">
      <formula>43551</formula>
    </cfRule>
  </conditionalFormatting>
  <conditionalFormatting sqref="AK5:AK6 AK7:AL10 AN7:AR10 AU7:AV10 AK11:AK12">
    <cfRule type="cellIs" dxfId="792" priority="569" operator="greaterThan">
      <formula>11000000</formula>
    </cfRule>
  </conditionalFormatting>
  <conditionalFormatting sqref="AK33">
    <cfRule type="cellIs" dxfId="791" priority="433" operator="greaterThan">
      <formula>43551</formula>
    </cfRule>
  </conditionalFormatting>
  <conditionalFormatting sqref="AK38 AM38">
    <cfRule type="cellIs" dxfId="790" priority="430" operator="greaterThan">
      <formula>5000000000</formula>
    </cfRule>
  </conditionalFormatting>
  <conditionalFormatting sqref="AK39 AR39 BM39:BM40 A51">
    <cfRule type="cellIs" dxfId="789" priority="701" operator="greaterThan">
      <formula>11000000</formula>
    </cfRule>
  </conditionalFormatting>
  <conditionalFormatting sqref="AK40">
    <cfRule type="cellIs" dxfId="788" priority="413" operator="greaterThan">
      <formula>43551</formula>
    </cfRule>
  </conditionalFormatting>
  <conditionalFormatting sqref="AL5:AL6">
    <cfRule type="cellIs" dxfId="787" priority="911" operator="greaterThan">
      <formula>9999.99</formula>
    </cfRule>
    <cfRule type="cellIs" dxfId="786" priority="912" operator="greaterThan">
      <formula>10</formula>
    </cfRule>
  </conditionalFormatting>
  <conditionalFormatting sqref="AL12">
    <cfRule type="cellIs" dxfId="785" priority="771" operator="greaterThan">
      <formula>9999.99</formula>
    </cfRule>
  </conditionalFormatting>
  <conditionalFormatting sqref="AL20">
    <cfRule type="cellIs" dxfId="784" priority="703" operator="greaterThan">
      <formula>10</formula>
    </cfRule>
    <cfRule type="cellIs" dxfId="783" priority="704" operator="greaterThan">
      <formula>9999.99</formula>
    </cfRule>
  </conditionalFormatting>
  <conditionalFormatting sqref="AL28">
    <cfRule type="cellIs" dxfId="782" priority="546" operator="greaterThan">
      <formula>10</formula>
    </cfRule>
  </conditionalFormatting>
  <conditionalFormatting sqref="AL34 BB18:BB20 BB21:BC21 BP26:BP27 K28 BP34:BQ34 CP34 AP35:AP36 BP35:BR36">
    <cfRule type="cellIs" dxfId="781" priority="528" operator="greaterThan">
      <formula>4400000000</formula>
    </cfRule>
  </conditionalFormatting>
  <conditionalFormatting sqref="AL40">
    <cfRule type="cellIs" dxfId="780" priority="414" operator="greaterThan">
      <formula>9999.99</formula>
    </cfRule>
    <cfRule type="cellIs" dxfId="779" priority="415" operator="greaterThan">
      <formula>10</formula>
    </cfRule>
  </conditionalFormatting>
  <conditionalFormatting sqref="AL11:AM11">
    <cfRule type="cellIs" dxfId="778" priority="571" operator="greaterThan">
      <formula>9999.99</formula>
    </cfRule>
  </conditionalFormatting>
  <conditionalFormatting sqref="AL11:AM12">
    <cfRule type="cellIs" dxfId="777" priority="572" operator="greaterThan">
      <formula>10</formula>
    </cfRule>
  </conditionalFormatting>
  <conditionalFormatting sqref="AL14:AM15">
    <cfRule type="cellIs" dxfId="776" priority="702" operator="greaterThan">
      <formula>10</formula>
    </cfRule>
  </conditionalFormatting>
  <conditionalFormatting sqref="AL17:AM17">
    <cfRule type="cellIs" dxfId="775" priority="456" operator="greaterThan">
      <formula>100000000</formula>
    </cfRule>
    <cfRule type="cellIs" dxfId="774" priority="458" operator="greaterThan">
      <formula>5000000000</formula>
    </cfRule>
  </conditionalFormatting>
  <conditionalFormatting sqref="AL20:AM20">
    <cfRule type="cellIs" dxfId="773" priority="705" operator="greaterThan">
      <formula>10</formula>
    </cfRule>
    <cfRule type="cellIs" dxfId="772" priority="848" operator="greaterThan">
      <formula>9999.99</formula>
    </cfRule>
    <cfRule type="cellIs" dxfId="771" priority="849" operator="greaterThan">
      <formula>10</formula>
    </cfRule>
  </conditionalFormatting>
  <conditionalFormatting sqref="AL29:AM30">
    <cfRule type="cellIs" dxfId="770" priority="858" operator="greaterThan">
      <formula>10</formula>
    </cfRule>
  </conditionalFormatting>
  <conditionalFormatting sqref="AL31:AM31">
    <cfRule type="cellIs" dxfId="769" priority="707" operator="greaterThan">
      <formula>10</formula>
    </cfRule>
  </conditionalFormatting>
  <conditionalFormatting sqref="AL39:AM39">
    <cfRule type="cellIs" dxfId="768" priority="859" operator="greaterThan">
      <formula>10</formula>
    </cfRule>
  </conditionalFormatting>
  <conditionalFormatting sqref="AM5:AM10">
    <cfRule type="cellIs" dxfId="767" priority="860" operator="greaterThan">
      <formula>10</formula>
    </cfRule>
  </conditionalFormatting>
  <conditionalFormatting sqref="AM5:AM12">
    <cfRule type="cellIs" dxfId="766" priority="570" operator="equal">
      <formula>0</formula>
    </cfRule>
    <cfRule type="cellIs" dxfId="765" priority="604" operator="greaterThan">
      <formula>0</formula>
    </cfRule>
  </conditionalFormatting>
  <conditionalFormatting sqref="AM16 AM32:AM36">
    <cfRule type="cellIs" dxfId="764" priority="426" operator="greaterThan">
      <formula>0</formula>
    </cfRule>
    <cfRule type="cellIs" dxfId="763" priority="427" operator="greaterThan">
      <formula>10</formula>
    </cfRule>
  </conditionalFormatting>
  <conditionalFormatting sqref="AM19:AM20">
    <cfRule type="cellIs" dxfId="762" priority="861" operator="greaterThan">
      <formula>0</formula>
    </cfRule>
    <cfRule type="cellIs" dxfId="761" priority="862" operator="greaterThan">
      <formula>10</formula>
    </cfRule>
  </conditionalFormatting>
  <conditionalFormatting sqref="AM25">
    <cfRule type="cellIs" dxfId="760" priority="428" operator="greaterThan">
      <formula>5000000000</formula>
    </cfRule>
  </conditionalFormatting>
  <conditionalFormatting sqref="AM28">
    <cfRule type="cellIs" dxfId="759" priority="527" operator="greaterThan">
      <formula>11000000</formula>
    </cfRule>
  </conditionalFormatting>
  <conditionalFormatting sqref="AM29:AM31">
    <cfRule type="cellIs" dxfId="758" priority="706" operator="greaterThan">
      <formula>0</formula>
    </cfRule>
  </conditionalFormatting>
  <conditionalFormatting sqref="AM39:AM40 BO29:BO36">
    <cfRule type="cellIs" dxfId="757" priority="416" operator="greaterThan">
      <formula>0</formula>
    </cfRule>
    <cfRule type="cellIs" dxfId="756" priority="418" operator="equal">
      <formula>0</formula>
    </cfRule>
  </conditionalFormatting>
  <conditionalFormatting sqref="AM40">
    <cfRule type="cellIs" dxfId="755" priority="417" operator="greaterThan">
      <formula>10</formula>
    </cfRule>
  </conditionalFormatting>
  <conditionalFormatting sqref="AN5:AN6 AN11:AN12">
    <cfRule type="cellIs" dxfId="754" priority="580" operator="greaterThan">
      <formula>4400000000</formula>
    </cfRule>
  </conditionalFormatting>
  <conditionalFormatting sqref="AN39:AN40">
    <cfRule type="cellIs" dxfId="753" priority="742" operator="greaterThan">
      <formula>4400000000</formula>
    </cfRule>
  </conditionalFormatting>
  <conditionalFormatting sqref="AO11">
    <cfRule type="cellIs" dxfId="752" priority="608" operator="greaterThan">
      <formula>10</formula>
    </cfRule>
  </conditionalFormatting>
  <conditionalFormatting sqref="AO12">
    <cfRule type="cellIs" dxfId="751" priority="610" operator="greaterThan">
      <formula>100000000</formula>
    </cfRule>
  </conditionalFormatting>
  <conditionalFormatting sqref="AO14:AO16">
    <cfRule type="cellIs" dxfId="750" priority="709" operator="greaterThan">
      <formula>100000000</formula>
    </cfRule>
  </conditionalFormatting>
  <conditionalFormatting sqref="AO17">
    <cfRule type="cellIs" dxfId="749" priority="453" operator="greaterThan">
      <formula>43551</formula>
    </cfRule>
  </conditionalFormatting>
  <conditionalFormatting sqref="AO35:AO36">
    <cfRule type="cellIs" dxfId="748" priority="710" operator="greaterThan">
      <formula>100000000</formula>
    </cfRule>
  </conditionalFormatting>
  <conditionalFormatting sqref="AO38">
    <cfRule type="cellIs" dxfId="747" priority="501" operator="greaterThan">
      <formula>9999.99</formula>
    </cfRule>
  </conditionalFormatting>
  <conditionalFormatting sqref="AO5:AP5">
    <cfRule type="cellIs" dxfId="746" priority="914" operator="greaterThan">
      <formula>100000000</formula>
    </cfRule>
  </conditionalFormatting>
  <conditionalFormatting sqref="AO6:AP6">
    <cfRule type="cellIs" dxfId="745" priority="913" operator="greaterThan">
      <formula>5000000000</formula>
    </cfRule>
  </conditionalFormatting>
  <conditionalFormatting sqref="AO12:AP12">
    <cfRule type="cellIs" dxfId="744" priority="708" operator="greaterThan">
      <formula>5000000000</formula>
    </cfRule>
  </conditionalFormatting>
  <conditionalFormatting sqref="AO20:AP20">
    <cfRule type="cellIs" dxfId="743" priority="850" operator="greaterThan">
      <formula>100000000</formula>
    </cfRule>
  </conditionalFormatting>
  <conditionalFormatting sqref="AO26:AP27">
    <cfRule type="cellIs" dxfId="742" priority="949" operator="greaterThan">
      <formula>100000000</formula>
    </cfRule>
  </conditionalFormatting>
  <conditionalFormatting sqref="AO31:AP31">
    <cfRule type="cellIs" dxfId="741" priority="910" operator="greaterThan">
      <formula>10</formula>
    </cfRule>
  </conditionalFormatting>
  <conditionalFormatting sqref="AO38:AP40">
    <cfRule type="cellIs" dxfId="740" priority="424" operator="equal">
      <formula>0</formula>
    </cfRule>
  </conditionalFormatting>
  <conditionalFormatting sqref="AO39:AP40">
    <cfRule type="cellIs" dxfId="739" priority="737" operator="greaterThan">
      <formula>5000000000</formula>
    </cfRule>
  </conditionalFormatting>
  <conditionalFormatting sqref="AP11 AP19 AP21 AP24">
    <cfRule type="cellIs" dxfId="738" priority="423" operator="equal">
      <formula>0</formula>
    </cfRule>
  </conditionalFormatting>
  <conditionalFormatting sqref="AP11">
    <cfRule type="cellIs" dxfId="737" priority="573" operator="greaterThan">
      <formula>5000000000</formula>
    </cfRule>
  </conditionalFormatting>
  <conditionalFormatting sqref="AP17">
    <cfRule type="cellIs" dxfId="736" priority="419" operator="greaterThan">
      <formula>5000000000</formula>
    </cfRule>
  </conditionalFormatting>
  <conditionalFormatting sqref="AP30">
    <cfRule type="cellIs" dxfId="735" priority="421" operator="equal">
      <formula>0</formula>
    </cfRule>
  </conditionalFormatting>
  <conditionalFormatting sqref="AP34">
    <cfRule type="cellIs" dxfId="734" priority="420" operator="greaterThan">
      <formula>5000000000</formula>
    </cfRule>
  </conditionalFormatting>
  <conditionalFormatting sqref="AP38">
    <cfRule type="cellIs" dxfId="733" priority="492" operator="equal">
      <formula>0</formula>
    </cfRule>
  </conditionalFormatting>
  <conditionalFormatting sqref="AP38">
    <cfRule type="cellIs" dxfId="732" priority="495" operator="greaterThan">
      <formula>0</formula>
    </cfRule>
  </conditionalFormatting>
  <conditionalFormatting sqref="AQ5:AQ6 AQ11:AQ12">
    <cfRule type="cellIs" dxfId="731" priority="581" operator="greaterThan">
      <formula>43551</formula>
    </cfRule>
  </conditionalFormatting>
  <conditionalFormatting sqref="AQ17">
    <cfRule type="cellIs" dxfId="730" priority="454" operator="greaterThan">
      <formula>10</formula>
    </cfRule>
  </conditionalFormatting>
  <conditionalFormatting sqref="AQ39:AQ40">
    <cfRule type="cellIs" dxfId="729" priority="782" operator="greaterThan">
      <formula>43551</formula>
    </cfRule>
  </conditionalFormatting>
  <conditionalFormatting sqref="AR5:AR6">
    <cfRule type="cellIs" dxfId="728" priority="565" operator="greaterThan">
      <formula>11000000</formula>
    </cfRule>
  </conditionalFormatting>
  <conditionalFormatting sqref="AR11:AR12">
    <cfRule type="cellIs" dxfId="727" priority="407" operator="greaterThan">
      <formula>11000000</formula>
    </cfRule>
  </conditionalFormatting>
  <conditionalFormatting sqref="AR16">
    <cfRule type="cellIs" dxfId="726" priority="398" operator="greaterThan">
      <formula>43551</formula>
    </cfRule>
  </conditionalFormatting>
  <conditionalFormatting sqref="AR40">
    <cfRule type="cellIs" dxfId="725" priority="388" operator="greaterThan">
      <formula>43551</formula>
    </cfRule>
  </conditionalFormatting>
  <conditionalFormatting sqref="AR38:AS38">
    <cfRule type="cellIs" dxfId="724" priority="396" operator="greaterThan">
      <formula>5000000000</formula>
    </cfRule>
  </conditionalFormatting>
  <conditionalFormatting sqref="AS5:AS6">
    <cfRule type="cellIs" dxfId="723" priority="906" operator="greaterThan">
      <formula>10</formula>
    </cfRule>
  </conditionalFormatting>
  <conditionalFormatting sqref="AS5:AS10">
    <cfRule type="cellIs" dxfId="722" priority="403" operator="greaterThan">
      <formula>9999.99</formula>
    </cfRule>
  </conditionalFormatting>
  <conditionalFormatting sqref="AS7:AS10">
    <cfRule type="cellIs" dxfId="721" priority="402" operator="greaterThan">
      <formula>10</formula>
    </cfRule>
  </conditionalFormatting>
  <conditionalFormatting sqref="AS12">
    <cfRule type="cellIs" dxfId="720" priority="412" operator="greaterThan">
      <formula>9999.99</formula>
    </cfRule>
  </conditionalFormatting>
  <conditionalFormatting sqref="AS20">
    <cfRule type="cellIs" dxfId="719" priority="689" operator="greaterThan">
      <formula>10</formula>
    </cfRule>
    <cfRule type="cellIs" dxfId="718" priority="690" operator="greaterThan">
      <formula>9999.99</formula>
    </cfRule>
    <cfRule type="cellIs" dxfId="717" priority="691" operator="greaterThan">
      <formula>10</formula>
    </cfRule>
  </conditionalFormatting>
  <conditionalFormatting sqref="AS37">
    <cfRule type="cellIs" dxfId="716" priority="394" operator="greaterThan">
      <formula>10</formula>
    </cfRule>
  </conditionalFormatting>
  <conditionalFormatting sqref="AS40">
    <cfRule type="cellIs" dxfId="715" priority="740" operator="greaterThan">
      <formula>9999.99</formula>
    </cfRule>
    <cfRule type="cellIs" dxfId="714" priority="741" operator="greaterThan">
      <formula>10</formula>
    </cfRule>
  </conditionalFormatting>
  <conditionalFormatting sqref="AS11:AT11">
    <cfRule type="cellIs" dxfId="713" priority="567" operator="greaterThan">
      <formula>9999.99</formula>
    </cfRule>
    <cfRule type="cellIs" dxfId="712" priority="568" operator="greaterThan">
      <formula>10</formula>
    </cfRule>
  </conditionalFormatting>
  <conditionalFormatting sqref="AS12:AT12">
    <cfRule type="cellIs" dxfId="711" priority="409" operator="greaterThan">
      <formula>10</formula>
    </cfRule>
  </conditionalFormatting>
  <conditionalFormatting sqref="AS14:AT14">
    <cfRule type="cellIs" dxfId="710" priority="405" operator="greaterThan">
      <formula>10</formula>
    </cfRule>
  </conditionalFormatting>
  <conditionalFormatting sqref="AS15:AT15">
    <cfRule type="cellIs" dxfId="709" priority="694" operator="greaterThan">
      <formula>10</formula>
    </cfRule>
  </conditionalFormatting>
  <conditionalFormatting sqref="AS18:AT18">
    <cfRule type="cellIs" dxfId="708" priority="770" operator="greaterThan">
      <formula>10</formula>
    </cfRule>
  </conditionalFormatting>
  <conditionalFormatting sqref="AS20:AT20">
    <cfRule type="cellIs" dxfId="707" priority="692" operator="greaterThan">
      <formula>9999.99</formula>
    </cfRule>
    <cfRule type="cellIs" dxfId="706" priority="693" operator="greaterThan">
      <formula>10</formula>
    </cfRule>
  </conditionalFormatting>
  <conditionalFormatting sqref="AS28:AT28">
    <cfRule type="cellIs" dxfId="705" priority="538" operator="greaterThan">
      <formula>11000000</formula>
    </cfRule>
  </conditionalFormatting>
  <conditionalFormatting sqref="AS29:AT31 BN30:BO31">
    <cfRule type="cellIs" dxfId="704" priority="789" operator="greaterThan">
      <formula>9999.99</formula>
    </cfRule>
  </conditionalFormatting>
  <conditionalFormatting sqref="AS31:AT31">
    <cfRule type="cellIs" dxfId="703" priority="735" operator="greaterThan">
      <formula>10</formula>
    </cfRule>
  </conditionalFormatting>
  <conditionalFormatting sqref="AS39:AT39">
    <cfRule type="cellIs" dxfId="702" priority="854" operator="greaterThan">
      <formula>10</formula>
    </cfRule>
  </conditionalFormatting>
  <conditionalFormatting sqref="AS17:AV17">
    <cfRule type="cellIs" dxfId="701" priority="404" operator="greaterThan">
      <formula>10</formula>
    </cfRule>
  </conditionalFormatting>
  <conditionalFormatting sqref="AT5:AT10">
    <cfRule type="cellIs" dxfId="700" priority="855" operator="greaterThan">
      <formula>10</formula>
    </cfRule>
  </conditionalFormatting>
  <conditionalFormatting sqref="AT5:AT11">
    <cfRule type="cellIs" dxfId="699" priority="603" operator="greaterThan">
      <formula>0</formula>
    </cfRule>
  </conditionalFormatting>
  <conditionalFormatting sqref="AT5:AT12">
    <cfRule type="cellIs" dxfId="698" priority="408" operator="equal">
      <formula>0</formula>
    </cfRule>
  </conditionalFormatting>
  <conditionalFormatting sqref="AT12">
    <cfRule type="cellIs" dxfId="697" priority="411" operator="greaterThan">
      <formula>0</formula>
    </cfRule>
  </conditionalFormatting>
  <conditionalFormatting sqref="AT14:AT15">
    <cfRule type="cellIs" dxfId="696" priority="406" operator="greaterThan">
      <formula>0</formula>
    </cfRule>
  </conditionalFormatting>
  <conditionalFormatting sqref="AT16">
    <cfRule type="cellIs" dxfId="695" priority="399" operator="greaterThan">
      <formula>0</formula>
    </cfRule>
    <cfRule type="cellIs" dxfId="694" priority="400" operator="greaterThan">
      <formula>10</formula>
    </cfRule>
  </conditionalFormatting>
  <conditionalFormatting sqref="AT18:AT21">
    <cfRule type="cellIs" dxfId="693" priority="769" operator="greaterThan">
      <formula>0</formula>
    </cfRule>
  </conditionalFormatting>
  <conditionalFormatting sqref="AT25">
    <cfRule type="cellIs" dxfId="692" priority="856" operator="greaterThan">
      <formula>9999.99</formula>
    </cfRule>
    <cfRule type="cellIs" dxfId="691" priority="857" operator="greaterThan">
      <formula>10</formula>
    </cfRule>
  </conditionalFormatting>
  <conditionalFormatting sqref="AT31">
    <cfRule type="cellIs" dxfId="690" priority="392" operator="greaterThan">
      <formula>0</formula>
    </cfRule>
    <cfRule type="cellIs" dxfId="689" priority="393" operator="greaterThan">
      <formula>22.37</formula>
    </cfRule>
  </conditionalFormatting>
  <conditionalFormatting sqref="AT39:AT40">
    <cfRule type="cellIs" dxfId="688" priority="734" operator="greaterThan">
      <formula>0</formula>
    </cfRule>
  </conditionalFormatting>
  <conditionalFormatting sqref="AT40">
    <cfRule type="cellIs" dxfId="687" priority="738" operator="greaterThan">
      <formula>10</formula>
    </cfRule>
  </conditionalFormatting>
  <conditionalFormatting sqref="AU5:AU6">
    <cfRule type="cellIs" dxfId="686" priority="564" operator="greaterThan">
      <formula>4400000000</formula>
    </cfRule>
  </conditionalFormatting>
  <conditionalFormatting sqref="AU11:AU12">
    <cfRule type="cellIs" dxfId="685" priority="410" operator="greaterThan">
      <formula>4400000000</formula>
    </cfRule>
  </conditionalFormatting>
  <conditionalFormatting sqref="AU14:AU16">
    <cfRule type="cellIs" dxfId="684" priority="401" operator="greaterThan">
      <formula>4400000000</formula>
    </cfRule>
  </conditionalFormatting>
  <conditionalFormatting sqref="AU31">
    <cfRule type="cellIs" dxfId="683" priority="736" operator="greaterThan">
      <formula>5000000000</formula>
    </cfRule>
  </conditionalFormatting>
  <conditionalFormatting sqref="AU40">
    <cfRule type="cellIs" dxfId="682" priority="739" operator="greaterThan">
      <formula>5000000000</formula>
    </cfRule>
  </conditionalFormatting>
  <conditionalFormatting sqref="AV5">
    <cfRule type="cellIs" dxfId="681" priority="909" operator="greaterThan">
      <formula>100000000</formula>
    </cfRule>
  </conditionalFormatting>
  <conditionalFormatting sqref="AV6">
    <cfRule type="cellIs" dxfId="680" priority="907" operator="greaterThan">
      <formula>5000000000</formula>
    </cfRule>
  </conditionalFormatting>
  <conditionalFormatting sqref="AV11">
    <cfRule type="cellIs" dxfId="679" priority="607" operator="greaterThan">
      <formula>10</formula>
    </cfRule>
  </conditionalFormatting>
  <conditionalFormatting sqref="AV17">
    <cfRule type="cellIs" dxfId="678" priority="452" operator="equal">
      <formula>0</formula>
    </cfRule>
    <cfRule type="cellIs" dxfId="677" priority="457" operator="greaterThan">
      <formula>0</formula>
    </cfRule>
  </conditionalFormatting>
  <conditionalFormatting sqref="AV24">
    <cfRule type="cellIs" dxfId="676" priority="390" operator="greaterThan">
      <formula>4400000000</formula>
    </cfRule>
  </conditionalFormatting>
  <conditionalFormatting sqref="AV26:AV27">
    <cfRule type="cellIs" dxfId="675" priority="908" operator="greaterThan">
      <formula>100000000</formula>
    </cfRule>
  </conditionalFormatting>
  <conditionalFormatting sqref="AV36:AV38">
    <cfRule type="cellIs" dxfId="674" priority="391" operator="greaterThan">
      <formula>4400000000</formula>
    </cfRule>
  </conditionalFormatting>
  <conditionalFormatting sqref="AV40">
    <cfRule type="cellIs" dxfId="673" priority="389" operator="greaterThan">
      <formula>4400000000</formula>
    </cfRule>
  </conditionalFormatting>
  <conditionalFormatting sqref="AV12:AW12">
    <cfRule type="cellIs" dxfId="672" priority="700" operator="greaterThan">
      <formula>5000000000</formula>
    </cfRule>
  </conditionalFormatting>
  <conditionalFormatting sqref="AV14:AW16 AH17:AJ27 AV18:AW20 BY19:BZ21 AV32:AW34 BY32:BZ34 BR34 AO34:AO36">
    <cfRule type="cellIs" dxfId="671" priority="519" operator="greaterThan">
      <formula>5000000000</formula>
    </cfRule>
  </conditionalFormatting>
  <conditionalFormatting sqref="AV20:AW20">
    <cfRule type="cellIs" dxfId="670" priority="847" operator="greaterThan">
      <formula>100000000</formula>
    </cfRule>
  </conditionalFormatting>
  <conditionalFormatting sqref="AV28:AW31">
    <cfRule type="cellIs" dxfId="669" priority="533" operator="greaterThan">
      <formula>5000000000</formula>
    </cfRule>
  </conditionalFormatting>
  <conditionalFormatting sqref="AV35:AW35">
    <cfRule type="cellIs" dxfId="668" priority="904" operator="greaterThan">
      <formula>4400000000</formula>
    </cfRule>
  </conditionalFormatting>
  <conditionalFormatting sqref="AW5:AW11">
    <cfRule type="cellIs" dxfId="667" priority="767" operator="greaterThan">
      <formula>5000000000</formula>
    </cfRule>
  </conditionalFormatting>
  <conditionalFormatting sqref="AW17 AY17:AY18">
    <cfRule type="cellIs" dxfId="666" priority="397" operator="greaterThan">
      <formula>5000000000</formula>
    </cfRule>
  </conditionalFormatting>
  <conditionalFormatting sqref="AW25">
    <cfRule type="cellIs" dxfId="665" priority="768" operator="greaterThan">
      <formula>43551</formula>
    </cfRule>
  </conditionalFormatting>
  <conditionalFormatting sqref="AW36:AW38 AV39:AW39">
    <cfRule type="cellIs" dxfId="664" priority="699" operator="greaterThan">
      <formula>5000000000</formula>
    </cfRule>
  </conditionalFormatting>
  <conditionalFormatting sqref="AW20:AX20">
    <cfRule type="cellIs" dxfId="663" priority="948" operator="greaterThan">
      <formula>43551</formula>
    </cfRule>
  </conditionalFormatting>
  <conditionalFormatting sqref="AW40:AX40">
    <cfRule type="cellIs" dxfId="662" priority="696" operator="greaterThan">
      <formula>43551</formula>
    </cfRule>
  </conditionalFormatting>
  <conditionalFormatting sqref="AX5:AX12">
    <cfRule type="cellIs" dxfId="661" priority="566" operator="greaterThan">
      <formula>43551</formula>
    </cfRule>
  </conditionalFormatting>
  <conditionalFormatting sqref="AY14:AY16">
    <cfRule type="cellIs" dxfId="660" priority="685" operator="greaterThan">
      <formula>11000000</formula>
    </cfRule>
  </conditionalFormatting>
  <conditionalFormatting sqref="AY39:AY40">
    <cfRule type="cellIs" dxfId="659" priority="902" operator="greaterThan">
      <formula>11000000</formula>
    </cfRule>
  </conditionalFormatting>
  <conditionalFormatting sqref="AY38:AZ38 BF38 BU38 CK38:CL38">
    <cfRule type="cellIs" dxfId="658" priority="486" operator="greaterThan">
      <formula>5000000000</formula>
    </cfRule>
  </conditionalFormatting>
  <conditionalFormatting sqref="AZ7:AZ10">
    <cfRule type="cellIs" dxfId="657" priority="387" operator="greaterThan">
      <formula>10</formula>
    </cfRule>
  </conditionalFormatting>
  <conditionalFormatting sqref="AZ11:AZ12">
    <cfRule type="cellIs" dxfId="656" priority="561" operator="greaterThan">
      <formula>10</formula>
    </cfRule>
  </conditionalFormatting>
  <conditionalFormatting sqref="AZ14:AZ18">
    <cfRule type="cellIs" dxfId="655" priority="383" operator="greaterThan">
      <formula>10</formula>
    </cfRule>
  </conditionalFormatting>
  <conditionalFormatting sqref="AZ20">
    <cfRule type="cellIs" dxfId="654" priority="686" operator="greaterThan">
      <formula>10</formula>
    </cfRule>
  </conditionalFormatting>
  <conditionalFormatting sqref="AZ37">
    <cfRule type="cellIs" dxfId="653" priority="380" operator="greaterThan">
      <formula>10</formula>
    </cfRule>
  </conditionalFormatting>
  <conditionalFormatting sqref="AZ39:AZ40">
    <cfRule type="cellIs" dxfId="652" priority="376" operator="greaterThan">
      <formula>10</formula>
    </cfRule>
  </conditionalFormatting>
  <conditionalFormatting sqref="AZ40">
    <cfRule type="cellIs" dxfId="651" priority="375" operator="greaterThan">
      <formula>9999.99</formula>
    </cfRule>
  </conditionalFormatting>
  <conditionalFormatting sqref="AZ5:BA6">
    <cfRule type="cellIs" dxfId="650" priority="846" operator="greaterThan">
      <formula>10</formula>
    </cfRule>
  </conditionalFormatting>
  <conditionalFormatting sqref="AZ20:BA20">
    <cfRule type="cellIs" dxfId="649" priority="687" operator="greaterThan">
      <formula>9999.99</formula>
    </cfRule>
    <cfRule type="cellIs" dxfId="648" priority="688" operator="greaterThan">
      <formula>10</formula>
    </cfRule>
  </conditionalFormatting>
  <conditionalFormatting sqref="AZ28:BA28">
    <cfRule type="cellIs" dxfId="647" priority="541" operator="greaterThan">
      <formula>9999.99</formula>
    </cfRule>
    <cfRule type="cellIs" dxfId="646" priority="542" operator="greaterThan">
      <formula>10</formula>
    </cfRule>
  </conditionalFormatting>
  <conditionalFormatting sqref="AZ29:BA30">
    <cfRule type="cellIs" dxfId="645" priority="843" operator="greaterThan">
      <formula>10</formula>
    </cfRule>
  </conditionalFormatting>
  <conditionalFormatting sqref="AZ31:BA31">
    <cfRule type="cellIs" dxfId="644" priority="695" operator="greaterThan">
      <formula>9999.99</formula>
    </cfRule>
  </conditionalFormatting>
  <conditionalFormatting sqref="BA5:BA12">
    <cfRule type="cellIs" dxfId="643" priority="599" operator="equal">
      <formula>0</formula>
    </cfRule>
    <cfRule type="cellIs" dxfId="642" priority="602" operator="greaterThan">
      <formula>0</formula>
    </cfRule>
  </conditionalFormatting>
  <conditionalFormatting sqref="BA7:BA10 BA12">
    <cfRule type="cellIs" dxfId="641" priority="802" operator="greaterThan">
      <formula>10</formula>
    </cfRule>
  </conditionalFormatting>
  <conditionalFormatting sqref="BA11">
    <cfRule type="cellIs" dxfId="640" priority="600" operator="greaterThan">
      <formula>9999.99</formula>
    </cfRule>
    <cfRule type="cellIs" dxfId="639" priority="601" operator="greaterThan">
      <formula>10</formula>
    </cfRule>
  </conditionalFormatting>
  <conditionalFormatting sqref="BA14:BA27">
    <cfRule type="cellIs" dxfId="638" priority="384" operator="equal">
      <formula>0</formula>
    </cfRule>
    <cfRule type="cellIs" dxfId="637" priority="385" operator="greaterThan">
      <formula>0</formula>
    </cfRule>
    <cfRule type="cellIs" dxfId="636" priority="386" operator="greaterThan">
      <formula>10</formula>
    </cfRule>
  </conditionalFormatting>
  <conditionalFormatting sqref="BA19:BA20">
    <cfRule type="cellIs" dxfId="635" priority="844" operator="greaterThan">
      <formula>0</formula>
    </cfRule>
    <cfRule type="cellIs" dxfId="634" priority="845" operator="greaterThan">
      <formula>10</formula>
    </cfRule>
  </conditionalFormatting>
  <conditionalFormatting sqref="BA20 BO20">
    <cfRule type="cellIs" dxfId="633" priority="795" operator="greaterThan">
      <formula>0</formula>
    </cfRule>
    <cfRule type="cellIs" dxfId="632" priority="796" operator="greaterThan">
      <formula>10</formula>
    </cfRule>
  </conditionalFormatting>
  <conditionalFormatting sqref="AF17:AF27 CL33:CL36">
    <cfRule type="cellIs" dxfId="631" priority="785" operator="greaterThan">
      <formula>0</formula>
    </cfRule>
  </conditionalFormatting>
  <conditionalFormatting sqref="BA31">
    <cfRule type="cellIs" dxfId="630" priority="783" operator="greaterThan">
      <formula>10</formula>
    </cfRule>
  </conditionalFormatting>
  <conditionalFormatting sqref="BA38:BA40">
    <cfRule type="cellIs" dxfId="629" priority="373" operator="greaterThan">
      <formula>0</formula>
    </cfRule>
    <cfRule type="cellIs" dxfId="628" priority="374" operator="greaterThan">
      <formula>10</formula>
    </cfRule>
  </conditionalFormatting>
  <conditionalFormatting sqref="BI8:BJ9 BB8:BC11 BP8:BQ11 BW8:BY11 BL9 BI10:BL11 BK12:BL12 BB12 BI12 BP12 BW12:BX12 BR14:BR15 BB14:BB16 BI14:BI16 BP14:BP16 BW14:BX16 BK14:BL25 BB17:BC17 BI17:BJ17 BP17:BR17 BW17:BY17">
    <cfRule type="cellIs" dxfId="627" priority="563" operator="greaterThan">
      <formula>4400000000</formula>
    </cfRule>
  </conditionalFormatting>
  <conditionalFormatting sqref="BC15:BC16">
    <cfRule type="cellIs" dxfId="626" priority="370" operator="greaterThan">
      <formula>5000000000</formula>
    </cfRule>
  </conditionalFormatting>
  <conditionalFormatting sqref="BC18:BC24">
    <cfRule type="cellIs" dxfId="625" priority="371" operator="greaterThan">
      <formula>5000000000</formula>
    </cfRule>
  </conditionalFormatting>
  <conditionalFormatting sqref="BC20">
    <cfRule type="cellIs" dxfId="624" priority="842" operator="greaterThan">
      <formula>100000000</formula>
    </cfRule>
  </conditionalFormatting>
  <conditionalFormatting sqref="BC26">
    <cfRule type="cellIs" dxfId="623" priority="382" operator="greaterThan">
      <formula>4400000000</formula>
    </cfRule>
  </conditionalFormatting>
  <conditionalFormatting sqref="BC37">
    <cfRule type="cellIs" dxfId="622" priority="378" operator="greaterThan">
      <formula>5000000000</formula>
    </cfRule>
  </conditionalFormatting>
  <conditionalFormatting sqref="BC38">
    <cfRule type="cellIs" dxfId="621" priority="500" operator="greaterThan">
      <formula>9999.99</formula>
    </cfRule>
  </conditionalFormatting>
  <conditionalFormatting sqref="BC5:BD5">
    <cfRule type="cellIs" dxfId="620" priority="903" operator="greaterThan">
      <formula>100000000</formula>
    </cfRule>
  </conditionalFormatting>
  <conditionalFormatting sqref="BC6:BD6">
    <cfRule type="cellIs" dxfId="619" priority="901" operator="greaterThan">
      <formula>5000000000</formula>
    </cfRule>
  </conditionalFormatting>
  <conditionalFormatting sqref="BC7:BD7">
    <cfRule type="cellIs" dxfId="618" priority="899" operator="greaterThan">
      <formula>100000000</formula>
    </cfRule>
  </conditionalFormatting>
  <conditionalFormatting sqref="BC12:BD12">
    <cfRule type="cellIs" dxfId="617" priority="379" operator="greaterThan">
      <formula>5000000000</formula>
    </cfRule>
  </conditionalFormatting>
  <conditionalFormatting sqref="BC14:BD14 BD15">
    <cfRule type="cellIs" dxfId="616" priority="381" operator="greaterThan">
      <formula>5000000000</formula>
    </cfRule>
  </conditionalFormatting>
  <conditionalFormatting sqref="BC20:BD20 BR20 BZ29:BZ31">
    <cfRule type="cellIs" dxfId="615" priority="939" operator="greaterThan">
      <formula>5000000000</formula>
    </cfRule>
  </conditionalFormatting>
  <conditionalFormatting sqref="BC25:BD25">
    <cfRule type="cellIs" dxfId="614" priority="900" operator="greaterThan">
      <formula>5000000000</formula>
    </cfRule>
  </conditionalFormatting>
  <conditionalFormatting sqref="BC27:BD27">
    <cfRule type="cellIs" dxfId="613" priority="684" operator="greaterThan">
      <formula>100000000</formula>
    </cfRule>
  </conditionalFormatting>
  <conditionalFormatting sqref="BC39:BD40">
    <cfRule type="cellIs" dxfId="612" priority="681" operator="greaterThan">
      <formula>5000000000</formula>
    </cfRule>
  </conditionalFormatting>
  <conditionalFormatting sqref="BD6:BD12">
    <cfRule type="cellIs" dxfId="611" priority="377" operator="greaterThan">
      <formula>100000000</formula>
    </cfRule>
  </conditionalFormatting>
  <conditionalFormatting sqref="BD14:BD24">
    <cfRule type="cellIs" dxfId="610" priority="350" operator="greaterThan">
      <formula>100000000</formula>
    </cfRule>
  </conditionalFormatting>
  <conditionalFormatting sqref="BD18:BD27">
    <cfRule type="cellIs" dxfId="609" priority="349" operator="greaterThan">
      <formula>5000000000</formula>
    </cfRule>
  </conditionalFormatting>
  <conditionalFormatting sqref="BD29:BD31">
    <cfRule type="cellIs" dxfId="608" priority="683" operator="greaterThan">
      <formula>100000000</formula>
    </cfRule>
  </conditionalFormatting>
  <conditionalFormatting sqref="BD35:BD36 BD39">
    <cfRule type="cellIs" dxfId="607" priority="682" operator="greaterThan">
      <formula>100000000</formula>
    </cfRule>
  </conditionalFormatting>
  <conditionalFormatting sqref="BF39:BF40">
    <cfRule type="cellIs" dxfId="606" priority="340" operator="greaterThan">
      <formula>11000000</formula>
    </cfRule>
  </conditionalFormatting>
  <conditionalFormatting sqref="BG7">
    <cfRule type="cellIs" dxfId="605" priority="680" operator="greaterThan">
      <formula>1</formula>
    </cfRule>
  </conditionalFormatting>
  <conditionalFormatting sqref="BG8:BG9">
    <cfRule type="cellIs" dxfId="604" priority="361" operator="greaterThan">
      <formula>10</formula>
    </cfRule>
  </conditionalFormatting>
  <conditionalFormatting sqref="BG8:BG12">
    <cfRule type="cellIs" dxfId="603" priority="345" operator="greaterThan">
      <formula>9999.99</formula>
    </cfRule>
  </conditionalFormatting>
  <conditionalFormatting sqref="BG10:BG11">
    <cfRule type="cellIs" dxfId="602" priority="344" operator="greaterThan">
      <formula>10</formula>
    </cfRule>
  </conditionalFormatting>
  <conditionalFormatting sqref="BG12">
    <cfRule type="cellIs" dxfId="601" priority="362" operator="greaterThan">
      <formula>10</formula>
    </cfRule>
  </conditionalFormatting>
  <conditionalFormatting sqref="BG14:BG18">
    <cfRule type="cellIs" dxfId="600" priority="357" operator="greaterThan">
      <formula>10</formula>
    </cfRule>
  </conditionalFormatting>
  <conditionalFormatting sqref="BG20">
    <cfRule type="cellIs" dxfId="599" priority="672" operator="greaterThan">
      <formula>10</formula>
    </cfRule>
  </conditionalFormatting>
  <conditionalFormatting sqref="BG28">
    <cfRule type="cellIs" dxfId="598" priority="531" operator="greaterThan">
      <formula>9999.99</formula>
    </cfRule>
  </conditionalFormatting>
  <conditionalFormatting sqref="BG37:BG38">
    <cfRule type="cellIs" dxfId="597" priority="346" operator="greaterThan">
      <formula>10</formula>
    </cfRule>
  </conditionalFormatting>
  <conditionalFormatting sqref="BG40">
    <cfRule type="cellIs" dxfId="596" priority="338" operator="greaterThan">
      <formula>9999.99</formula>
    </cfRule>
    <cfRule type="cellIs" dxfId="595" priority="339" operator="greaterThan">
      <formula>10</formula>
    </cfRule>
  </conditionalFormatting>
  <conditionalFormatting sqref="BG20:BH20">
    <cfRule type="cellIs" dxfId="594" priority="673" operator="greaterThan">
      <formula>9999.99</formula>
    </cfRule>
  </conditionalFormatting>
  <conditionalFormatting sqref="BG35:BH36 BG39:BH39">
    <cfRule type="cellIs" dxfId="593" priority="674" operator="greaterThan">
      <formula>10</formula>
    </cfRule>
  </conditionalFormatting>
  <conditionalFormatting sqref="BH5:BH12">
    <cfRule type="cellIs" dxfId="592" priority="364" operator="equal">
      <formula>0</formula>
    </cfRule>
    <cfRule type="cellIs" dxfId="591" priority="365" operator="greaterThan">
      <formula>0</formula>
    </cfRule>
    <cfRule type="cellIs" dxfId="590" priority="366" operator="greaterThan">
      <formula>10</formula>
    </cfRule>
  </conditionalFormatting>
  <conditionalFormatting sqref="BH14:BH16">
    <cfRule type="cellIs" dxfId="589" priority="358" operator="greaterThan">
      <formula>10</formula>
    </cfRule>
  </conditionalFormatting>
  <conditionalFormatting sqref="BH14:BH17">
    <cfRule type="cellIs" dxfId="588" priority="353" operator="greaterThan">
      <formula>0</formula>
    </cfRule>
  </conditionalFormatting>
  <conditionalFormatting sqref="BH14:BH27">
    <cfRule type="cellIs" dxfId="587" priority="332" operator="equal">
      <formula>0</formula>
    </cfRule>
  </conditionalFormatting>
  <conditionalFormatting sqref="BH17">
    <cfRule type="cellIs" dxfId="586" priority="351" operator="greaterThan">
      <formula>0</formula>
    </cfRule>
  </conditionalFormatting>
  <conditionalFormatting sqref="BH17:BH18">
    <cfRule type="cellIs" dxfId="585" priority="352" operator="greaterThan">
      <formula>10</formula>
    </cfRule>
  </conditionalFormatting>
  <conditionalFormatting sqref="BH20:BH23">
    <cfRule type="cellIs" dxfId="584" priority="354" operator="greaterThan">
      <formula>0</formula>
    </cfRule>
  </conditionalFormatting>
  <conditionalFormatting sqref="BH20:BH24">
    <cfRule type="cellIs" dxfId="583" priority="333" operator="greaterThan">
      <formula>0</formula>
    </cfRule>
    <cfRule type="cellIs" dxfId="582" priority="334" operator="greaterThan">
      <formula>10</formula>
    </cfRule>
  </conditionalFormatting>
  <conditionalFormatting sqref="BH29">
    <cfRule type="cellIs" dxfId="581" priority="675" operator="greaterThan">
      <formula>0</formula>
    </cfRule>
    <cfRule type="cellIs" dxfId="580" priority="676" operator="greaterThan">
      <formula>10</formula>
    </cfRule>
  </conditionalFormatting>
  <conditionalFormatting sqref="BH30">
    <cfRule type="cellIs" dxfId="579" priority="840" operator="greaterThan">
      <formula>10</formula>
    </cfRule>
  </conditionalFormatting>
  <conditionalFormatting sqref="BH30">
    <cfRule type="cellIs" dxfId="578" priority="841" operator="greaterThan">
      <formula>0</formula>
    </cfRule>
  </conditionalFormatting>
  <conditionalFormatting sqref="BH31">
    <cfRule type="cellIs" dxfId="577" priority="679" operator="greaterThan">
      <formula>10</formula>
    </cfRule>
  </conditionalFormatting>
  <conditionalFormatting sqref="BH30">
    <cfRule type="cellIs" dxfId="576" priority="839" operator="greaterThan">
      <formula>9999.99</formula>
    </cfRule>
  </conditionalFormatting>
  <conditionalFormatting sqref="BH35:BH36">
    <cfRule type="cellIs" dxfId="575" priority="355" operator="greaterThan">
      <formula>0</formula>
    </cfRule>
    <cfRule type="cellIs" dxfId="574" priority="356" operator="greaterThan">
      <formula>10</formula>
    </cfRule>
  </conditionalFormatting>
  <conditionalFormatting sqref="BH39:BH40">
    <cfRule type="cellIs" dxfId="573" priority="336" operator="greaterThan">
      <formula>0</formula>
    </cfRule>
  </conditionalFormatting>
  <conditionalFormatting sqref="BH40">
    <cfRule type="cellIs" dxfId="572" priority="337" operator="greaterThan">
      <formula>10</formula>
    </cfRule>
  </conditionalFormatting>
  <conditionalFormatting sqref="BI5:BI7">
    <cfRule type="cellIs" dxfId="571" priority="606" operator="greaterThan">
      <formula>4400000000</formula>
    </cfRule>
  </conditionalFormatting>
  <conditionalFormatting sqref="BJ6">
    <cfRule type="cellIs" dxfId="570" priority="897" operator="greaterThan">
      <formula>5000000000</formula>
    </cfRule>
  </conditionalFormatting>
  <conditionalFormatting sqref="BJ7">
    <cfRule type="cellIs" dxfId="569" priority="896" operator="greaterThan">
      <formula>100000000</formula>
    </cfRule>
  </conditionalFormatting>
  <conditionalFormatting sqref="BJ20">
    <cfRule type="cellIs" dxfId="568" priority="838" operator="greaterThan">
      <formula>100000000</formula>
    </cfRule>
  </conditionalFormatting>
  <conditionalFormatting sqref="BJ24">
    <cfRule type="cellIs" dxfId="567" priority="523" operator="greaterThan">
      <formula>100000000</formula>
    </cfRule>
  </conditionalFormatting>
  <conditionalFormatting sqref="BJ26:BJ27">
    <cfRule type="cellIs" dxfId="566" priority="898" operator="greaterThan">
      <formula>100000000</formula>
    </cfRule>
  </conditionalFormatting>
  <conditionalFormatting sqref="BJ28:BJ30">
    <cfRule type="cellIs" dxfId="565" priority="537" operator="greaterThan">
      <formula>5000000000</formula>
    </cfRule>
  </conditionalFormatting>
  <conditionalFormatting sqref="BJ35:BJ36">
    <cfRule type="cellIs" dxfId="564" priority="895" operator="greaterThan">
      <formula>4400000000</formula>
    </cfRule>
  </conditionalFormatting>
  <conditionalFormatting sqref="BJ37">
    <cfRule type="cellIs" dxfId="563" priority="343" operator="greaterThan">
      <formula>5000000000</formula>
    </cfRule>
  </conditionalFormatting>
  <conditionalFormatting sqref="BJ38">
    <cfRule type="cellIs" dxfId="562" priority="498" operator="greaterThan">
      <formula>9999.99</formula>
    </cfRule>
  </conditionalFormatting>
  <conditionalFormatting sqref="BJ39:BJ40">
    <cfRule type="cellIs" dxfId="561" priority="331" operator="greaterThan">
      <formula>5000000000</formula>
    </cfRule>
  </conditionalFormatting>
  <conditionalFormatting sqref="BJ12:BK12">
    <cfRule type="cellIs" dxfId="560" priority="368" operator="greaterThan">
      <formula>5000000000</formula>
    </cfRule>
  </conditionalFormatting>
  <conditionalFormatting sqref="BJ14:BK16">
    <cfRule type="cellIs" dxfId="559" priority="347" operator="greaterThan">
      <formula>5000000000</formula>
    </cfRule>
  </conditionalFormatting>
  <conditionalFormatting sqref="BK5:BK8">
    <cfRule type="cellIs" dxfId="558" priority="677" operator="greaterThan">
      <formula>10</formula>
    </cfRule>
  </conditionalFormatting>
  <conditionalFormatting sqref="BK12">
    <cfRule type="cellIs" dxfId="557" priority="367" operator="greaterThan">
      <formula>100000000</formula>
    </cfRule>
  </conditionalFormatting>
  <conditionalFormatting sqref="BK14:BK16">
    <cfRule type="cellIs" dxfId="556" priority="369" operator="greaterThan">
      <formula>100000000</formula>
    </cfRule>
  </conditionalFormatting>
  <conditionalFormatting sqref="BK17">
    <cfRule type="cellIs" dxfId="555" priority="348" operator="greaterThan">
      <formula>10</formula>
    </cfRule>
  </conditionalFormatting>
  <conditionalFormatting sqref="BK32:BK37 BK39:BK40">
    <cfRule type="cellIs" dxfId="554" priority="491" operator="greaterThan">
      <formula>10</formula>
    </cfRule>
  </conditionalFormatting>
  <conditionalFormatting sqref="BK38">
    <cfRule type="cellIs" dxfId="553" priority="341" operator="greaterThan">
      <formula>43551</formula>
    </cfRule>
  </conditionalFormatting>
  <conditionalFormatting sqref="BK9:BL12 BK14:BL21">
    <cfRule type="cellIs" dxfId="552" priority="342" operator="greaterThan">
      <formula>43551</formula>
    </cfRule>
  </conditionalFormatting>
  <conditionalFormatting sqref="BK18:BL18">
    <cfRule type="cellIs" dxfId="551" priority="671" operator="greaterThan">
      <formula>10</formula>
    </cfRule>
  </conditionalFormatting>
  <conditionalFormatting sqref="BM38:BN38">
    <cfRule type="cellIs" dxfId="550" priority="499" operator="greaterThan">
      <formula>5000000000</formula>
    </cfRule>
  </conditionalFormatting>
  <conditionalFormatting sqref="BN11">
    <cfRule type="cellIs" dxfId="549" priority="325" operator="greaterThan">
      <formula>10</formula>
    </cfRule>
  </conditionalFormatting>
  <conditionalFormatting sqref="BN12">
    <cfRule type="cellIs" dxfId="548" priority="290" operator="greaterThan">
      <formula>10</formula>
    </cfRule>
  </conditionalFormatting>
  <conditionalFormatting sqref="BN14">
    <cfRule type="cellIs" dxfId="547" priority="322" operator="greaterThan">
      <formula>9999.99</formula>
    </cfRule>
    <cfRule type="cellIs" dxfId="546" priority="323" operator="greaterThan">
      <formula>10</formula>
    </cfRule>
  </conditionalFormatting>
  <conditionalFormatting sqref="BN19:BN20">
    <cfRule type="cellIs" dxfId="545" priority="307" operator="greaterThan">
      <formula>10</formula>
    </cfRule>
  </conditionalFormatting>
  <conditionalFormatting sqref="BN20">
    <cfRule type="cellIs" dxfId="544" priority="666" operator="greaterThan">
      <formula>9999.99</formula>
    </cfRule>
    <cfRule type="cellIs" dxfId="543" priority="667" operator="greaterThan">
      <formula>10</formula>
    </cfRule>
  </conditionalFormatting>
  <conditionalFormatting sqref="BN28:BN29">
    <cfRule type="cellIs" dxfId="542" priority="530" operator="greaterThan">
      <formula>10</formula>
    </cfRule>
  </conditionalFormatting>
  <conditionalFormatting sqref="BN37">
    <cfRule type="cellIs" dxfId="541" priority="310" operator="greaterThan">
      <formula>10</formula>
    </cfRule>
  </conditionalFormatting>
  <conditionalFormatting sqref="BN40">
    <cfRule type="cellIs" dxfId="540" priority="294" operator="greaterThan">
      <formula>9999.99</formula>
    </cfRule>
    <cfRule type="cellIs" dxfId="539" priority="295" operator="greaterThan">
      <formula>10</formula>
    </cfRule>
  </conditionalFormatting>
  <conditionalFormatting sqref="BN5:BO10">
    <cfRule type="cellIs" dxfId="538" priority="633" operator="greaterThan">
      <formula>10</formula>
    </cfRule>
  </conditionalFormatting>
  <conditionalFormatting sqref="BN15:BO16">
    <cfRule type="cellIs" dxfId="537" priority="289" operator="greaterThan">
      <formula>10</formula>
    </cfRule>
  </conditionalFormatting>
  <conditionalFormatting sqref="BN17:BO18">
    <cfRule type="cellIs" dxfId="536" priority="320" operator="greaterThan">
      <formula>10</formula>
    </cfRule>
  </conditionalFormatting>
  <conditionalFormatting sqref="BN20:BO20">
    <cfRule type="cellIs" dxfId="535" priority="668" operator="greaterThan">
      <formula>9999.99</formula>
    </cfRule>
    <cfRule type="cellIs" dxfId="534" priority="669" operator="greaterThan">
      <formula>10</formula>
    </cfRule>
  </conditionalFormatting>
  <conditionalFormatting sqref="BN39:BO39">
    <cfRule type="cellIs" dxfId="533" priority="670" operator="greaterThan">
      <formula>10</formula>
    </cfRule>
  </conditionalFormatting>
  <conditionalFormatting sqref="BO5:BO12">
    <cfRule type="cellIs" dxfId="532" priority="327" operator="equal">
      <formula>0</formula>
    </cfRule>
    <cfRule type="cellIs" dxfId="531" priority="328" operator="greaterThan">
      <formula>0</formula>
    </cfRule>
  </conditionalFormatting>
  <conditionalFormatting sqref="BO11:BO12">
    <cfRule type="cellIs" dxfId="530" priority="329" operator="greaterThan">
      <formula>10</formula>
    </cfRule>
  </conditionalFormatting>
  <conditionalFormatting sqref="BO14">
    <cfRule type="cellIs" dxfId="529" priority="321" operator="greaterThan">
      <formula>10</formula>
    </cfRule>
  </conditionalFormatting>
  <conditionalFormatting sqref="BO14:BO16">
    <cfRule type="cellIs" dxfId="528" priority="288" operator="greaterThan">
      <formula>0</formula>
    </cfRule>
  </conditionalFormatting>
  <conditionalFormatting sqref="BO14:BO27">
    <cfRule type="cellIs" dxfId="527" priority="286" operator="equal">
      <formula>0</formula>
    </cfRule>
  </conditionalFormatting>
  <conditionalFormatting sqref="BO17:BO27">
    <cfRule type="cellIs" dxfId="526" priority="319" operator="greaterThan">
      <formula>0</formula>
    </cfRule>
  </conditionalFormatting>
  <conditionalFormatting sqref="BO19:BO20">
    <cfRule type="cellIs" dxfId="525" priority="836" operator="greaterThan">
      <formula>0</formula>
    </cfRule>
    <cfRule type="cellIs" dxfId="524" priority="837" operator="greaterThan">
      <formula>10</formula>
    </cfRule>
  </conditionalFormatting>
  <conditionalFormatting sqref="BO22">
    <cfRule type="cellIs" dxfId="523" priority="301" operator="greaterThan">
      <formula>9999.99</formula>
    </cfRule>
    <cfRule type="cellIs" dxfId="522" priority="302" operator="greaterThan">
      <formula>10</formula>
    </cfRule>
    <cfRule type="cellIs" dxfId="521" priority="303" operator="greaterThan">
      <formula>0</formula>
    </cfRule>
    <cfRule type="cellIs" dxfId="520" priority="304" operator="greaterThan">
      <formula>10</formula>
    </cfRule>
    <cfRule type="cellIs" dxfId="519" priority="305" operator="greaterThan">
      <formula>0</formula>
    </cfRule>
    <cfRule type="cellIs" dxfId="518" priority="306" operator="greaterThan">
      <formula>10</formula>
    </cfRule>
  </conditionalFormatting>
  <conditionalFormatting sqref="BO29">
    <cfRule type="cellIs" dxfId="517" priority="315" operator="greaterThan">
      <formula>10</formula>
    </cfRule>
  </conditionalFormatting>
  <conditionalFormatting sqref="BO39:BO40">
    <cfRule type="cellIs" dxfId="516" priority="292" operator="greaterThan">
      <formula>0</formula>
    </cfRule>
  </conditionalFormatting>
  <conditionalFormatting sqref="BO40">
    <cfRule type="cellIs" dxfId="515" priority="293" operator="greaterThan">
      <formula>10</formula>
    </cfRule>
  </conditionalFormatting>
  <conditionalFormatting sqref="BP18:BP24">
    <cfRule type="cellIs" dxfId="514" priority="297" operator="greaterThan">
      <formula>4400000000</formula>
    </cfRule>
  </conditionalFormatting>
  <conditionalFormatting sqref="BP37">
    <cfRule type="cellIs" dxfId="513" priority="312" operator="greaterThan">
      <formula>4400000000</formula>
    </cfRule>
  </conditionalFormatting>
  <conditionalFormatting sqref="BQ12">
    <cfRule type="cellIs" dxfId="512" priority="330" operator="greaterThan">
      <formula>5000000000</formula>
    </cfRule>
  </conditionalFormatting>
  <conditionalFormatting sqref="BQ16">
    <cfRule type="cellIs" dxfId="511" priority="285" operator="greaterThan">
      <formula>5000000000</formula>
    </cfRule>
  </conditionalFormatting>
  <conditionalFormatting sqref="BQ22">
    <cfRule type="cellIs" dxfId="510" priority="300" operator="greaterThan">
      <formula>100000000</formula>
    </cfRule>
  </conditionalFormatting>
  <conditionalFormatting sqref="BQ24">
    <cfRule type="cellIs" dxfId="509" priority="221" operator="greaterThan">
      <formula>5000000000</formula>
    </cfRule>
  </conditionalFormatting>
  <conditionalFormatting sqref="BQ33 BU20">
    <cfRule type="cellIs" dxfId="508" priority="946" operator="greaterThan">
      <formula>9999.99</formula>
    </cfRule>
  </conditionalFormatting>
  <conditionalFormatting sqref="BQ37">
    <cfRule type="cellIs" dxfId="507" priority="311" operator="greaterThan">
      <formula>5000000000</formula>
    </cfRule>
  </conditionalFormatting>
  <conditionalFormatting sqref="BQ38">
    <cfRule type="cellIs" dxfId="506" priority="488" operator="greaterThan">
      <formula>10</formula>
    </cfRule>
    <cfRule type="cellIs" dxfId="505" priority="497" operator="greaterThan">
      <formula>9999.99</formula>
    </cfRule>
  </conditionalFormatting>
  <conditionalFormatting sqref="BQ6:BR6">
    <cfRule type="cellIs" dxfId="504" priority="894" operator="greaterThan">
      <formula>5000000000</formula>
    </cfRule>
  </conditionalFormatting>
  <conditionalFormatting sqref="BQ7:BR7">
    <cfRule type="cellIs" dxfId="503" priority="893" operator="greaterThan">
      <formula>100000000</formula>
    </cfRule>
  </conditionalFormatting>
  <conditionalFormatting sqref="BQ14:BR15">
    <cfRule type="cellIs" dxfId="502" priority="317" operator="greaterThan">
      <formula>5000000000</formula>
    </cfRule>
  </conditionalFormatting>
  <conditionalFormatting sqref="BQ18:BR18">
    <cfRule type="cellIs" dxfId="501" priority="296" operator="greaterThan">
      <formula>4400000000</formula>
    </cfRule>
  </conditionalFormatting>
  <conditionalFormatting sqref="BQ19:BR23 BQ25:BR25">
    <cfRule type="cellIs" dxfId="500" priority="299" operator="greaterThan">
      <formula>5000000000</formula>
    </cfRule>
  </conditionalFormatting>
  <conditionalFormatting sqref="BQ20:BR20">
    <cfRule type="cellIs" dxfId="499" priority="766" operator="greaterThan">
      <formula>100000000</formula>
    </cfRule>
  </conditionalFormatting>
  <conditionalFormatting sqref="BQ29:BR30">
    <cfRule type="cellIs" dxfId="498" priority="536" operator="greaterThan">
      <formula>5000000000</formula>
    </cfRule>
  </conditionalFormatting>
  <conditionalFormatting sqref="BQ39:BR40">
    <cfRule type="cellIs" dxfId="497" priority="284" operator="greaterThan">
      <formula>5000000000</formula>
    </cfRule>
  </conditionalFormatting>
  <conditionalFormatting sqref="BR8:BR12">
    <cfRule type="cellIs" dxfId="496" priority="291" operator="greaterThan">
      <formula>100000000</formula>
    </cfRule>
  </conditionalFormatting>
  <conditionalFormatting sqref="BR14:BR15">
    <cfRule type="cellIs" dxfId="495" priority="316" operator="greaterThan">
      <formula>43551</formula>
    </cfRule>
  </conditionalFormatting>
  <conditionalFormatting sqref="BR14:BR18">
    <cfRule type="cellIs" dxfId="494" priority="318" operator="greaterThan">
      <formula>100000000</formula>
    </cfRule>
  </conditionalFormatting>
  <conditionalFormatting sqref="BR17:BR18">
    <cfRule type="cellIs" dxfId="493" priority="308" operator="greaterThan">
      <formula>43551</formula>
    </cfRule>
    <cfRule type="cellIs" dxfId="492" priority="309" operator="greaterThan">
      <formula>5000000000</formula>
    </cfRule>
  </conditionalFormatting>
  <conditionalFormatting sqref="BR24">
    <cfRule type="cellIs" dxfId="491" priority="220" operator="greaterThan">
      <formula>43551</formula>
    </cfRule>
  </conditionalFormatting>
  <conditionalFormatting sqref="BR31">
    <cfRule type="cellIs" dxfId="490" priority="298" operator="greaterThan">
      <formula>5000000000</formula>
    </cfRule>
  </conditionalFormatting>
  <conditionalFormatting sqref="BR38">
    <cfRule type="cellIs" dxfId="489" priority="219" operator="greaterThan">
      <formula>4400000000</formula>
    </cfRule>
  </conditionalFormatting>
  <conditionalFormatting sqref="BT40">
    <cfRule type="cellIs" dxfId="488" priority="182" operator="greaterThan">
      <formula>11000000</formula>
    </cfRule>
  </conditionalFormatting>
  <conditionalFormatting sqref="BT39:BU39">
    <cfRule type="cellIs" dxfId="487" priority="765" operator="greaterThan">
      <formula>10</formula>
    </cfRule>
  </conditionalFormatting>
  <conditionalFormatting sqref="BU14">
    <cfRule type="cellIs" dxfId="486" priority="212" operator="greaterThan">
      <formula>9999.99</formula>
    </cfRule>
    <cfRule type="cellIs" dxfId="485" priority="213" operator="greaterThan">
      <formula>10</formula>
    </cfRule>
  </conditionalFormatting>
  <conditionalFormatting sqref="BU17">
    <cfRule type="cellIs" dxfId="484" priority="205" operator="greaterThan">
      <formula>9999.99</formula>
    </cfRule>
  </conditionalFormatting>
  <conditionalFormatting sqref="BU17:BU19">
    <cfRule type="cellIs" dxfId="483" priority="206" operator="greaterThan">
      <formula>10</formula>
    </cfRule>
  </conditionalFormatting>
  <conditionalFormatting sqref="BU22:BU28">
    <cfRule type="cellIs" dxfId="482" priority="190" operator="greaterThan">
      <formula>9999.99</formula>
    </cfRule>
  </conditionalFormatting>
  <conditionalFormatting sqref="BU24:BU28">
    <cfRule type="cellIs" dxfId="481" priority="191" operator="greaterThan">
      <formula>10</formula>
    </cfRule>
  </conditionalFormatting>
  <conditionalFormatting sqref="BU35:BU37">
    <cfRule type="cellIs" dxfId="480" priority="198" operator="greaterThan">
      <formula>9999.99</formula>
    </cfRule>
  </conditionalFormatting>
  <conditionalFormatting sqref="BU37">
    <cfRule type="cellIs" dxfId="479" priority="197" operator="greaterThan">
      <formula>10</formula>
    </cfRule>
  </conditionalFormatting>
  <conditionalFormatting sqref="BU40">
    <cfRule type="cellIs" dxfId="478" priority="180" operator="greaterThan">
      <formula>9999.99</formula>
    </cfRule>
    <cfRule type="cellIs" dxfId="477" priority="181" operator="greaterThan">
      <formula>10</formula>
    </cfRule>
  </conditionalFormatting>
  <conditionalFormatting sqref="BU8:BV10">
    <cfRule type="cellIs" dxfId="476" priority="203" operator="greaterThan">
      <formula>10</formula>
    </cfRule>
  </conditionalFormatting>
  <conditionalFormatting sqref="BU11:BV11">
    <cfRule type="cellIs" dxfId="475" priority="195" operator="greaterThan">
      <formula>10</formula>
    </cfRule>
  </conditionalFormatting>
  <conditionalFormatting sqref="BU12:BV12">
    <cfRule type="cellIs" dxfId="474" priority="216" operator="greaterThan">
      <formula>10</formula>
    </cfRule>
  </conditionalFormatting>
  <conditionalFormatting sqref="BU15:BV16">
    <cfRule type="cellIs" dxfId="473" priority="194" operator="greaterThan">
      <formula>10</formula>
    </cfRule>
  </conditionalFormatting>
  <conditionalFormatting sqref="BU20:BV20">
    <cfRule type="cellIs" dxfId="472" priority="816" operator="greaterThan">
      <formula>9999.99</formula>
    </cfRule>
    <cfRule type="cellIs" dxfId="471" priority="817" operator="greaterThan">
      <formula>10</formula>
    </cfRule>
  </conditionalFormatting>
  <conditionalFormatting sqref="BU22:BW23">
    <cfRule type="cellIs" dxfId="470" priority="196" operator="greaterThan">
      <formula>10</formula>
    </cfRule>
  </conditionalFormatting>
  <conditionalFormatting sqref="BU29:BW30">
    <cfRule type="cellIs" dxfId="469" priority="833" operator="greaterThan">
      <formula>10</formula>
    </cfRule>
  </conditionalFormatting>
  <conditionalFormatting sqref="BU31:BW31">
    <cfRule type="cellIs" dxfId="468" priority="830" operator="greaterThan">
      <formula>9999.99</formula>
    </cfRule>
  </conditionalFormatting>
  <conditionalFormatting sqref="BV8:BV12">
    <cfRule type="cellIs" dxfId="467" priority="201" operator="equal">
      <formula>0</formula>
    </cfRule>
    <cfRule type="cellIs" dxfId="466" priority="202" operator="greaterThan">
      <formula>0</formula>
    </cfRule>
  </conditionalFormatting>
  <conditionalFormatting sqref="BV14">
    <cfRule type="cellIs" dxfId="465" priority="211" operator="greaterThan">
      <formula>10</formula>
    </cfRule>
  </conditionalFormatting>
  <conditionalFormatting sqref="BV14:BV20">
    <cfRule type="cellIs" dxfId="464" priority="193" operator="greaterThan">
      <formula>0</formula>
    </cfRule>
  </conditionalFormatting>
  <conditionalFormatting sqref="BV14:BV27">
    <cfRule type="cellIs" dxfId="463" priority="185" operator="equal">
      <formula>0</formula>
    </cfRule>
  </conditionalFormatting>
  <conditionalFormatting sqref="BV17:BV20">
    <cfRule type="cellIs" dxfId="462" priority="204" operator="greaterThan">
      <formula>10</formula>
    </cfRule>
  </conditionalFormatting>
  <conditionalFormatting sqref="BV24">
    <cfRule type="cellIs" dxfId="461" priority="188" operator="greaterThan">
      <formula>0</formula>
    </cfRule>
    <cfRule type="cellIs" dxfId="460" priority="189" operator="greaterThan">
      <formula>10</formula>
    </cfRule>
  </conditionalFormatting>
  <conditionalFormatting sqref="BV29:BV30">
    <cfRule type="cellIs" dxfId="459" priority="664" operator="equal">
      <formula>0</formula>
    </cfRule>
  </conditionalFormatting>
  <conditionalFormatting sqref="BV31:BV36">
    <cfRule type="cellIs" dxfId="458" priority="834" operator="equal">
      <formula>0</formula>
    </cfRule>
    <cfRule type="cellIs" dxfId="457" priority="835" operator="greaterThan">
      <formula>10</formula>
    </cfRule>
  </conditionalFormatting>
  <conditionalFormatting sqref="BV38">
    <cfRule type="cellIs" dxfId="456" priority="93" operator="greaterThan">
      <formula>10</formula>
    </cfRule>
  </conditionalFormatting>
  <conditionalFormatting sqref="BV38:BV40">
    <cfRule type="cellIs" dxfId="455" priority="91" operator="greaterThan">
      <formula>0</formula>
    </cfRule>
    <cfRule type="cellIs" dxfId="454" priority="92" operator="equal">
      <formula>0</formula>
    </cfRule>
  </conditionalFormatting>
  <conditionalFormatting sqref="BV40">
    <cfRule type="cellIs" dxfId="453" priority="179" operator="greaterThan">
      <formula>10</formula>
    </cfRule>
  </conditionalFormatting>
  <conditionalFormatting sqref="BV20:BW20">
    <cfRule type="cellIs" dxfId="452" priority="822" operator="greaterThan">
      <formula>10</formula>
    </cfRule>
  </conditionalFormatting>
  <conditionalFormatting sqref="BV26:BW27">
    <cfRule type="cellIs" dxfId="451" priority="827" operator="greaterThan">
      <formula>10</formula>
    </cfRule>
  </conditionalFormatting>
  <conditionalFormatting sqref="BV29:BW30">
    <cfRule type="cellIs" dxfId="450" priority="832" operator="greaterThan">
      <formula>9999.99</formula>
    </cfRule>
  </conditionalFormatting>
  <conditionalFormatting sqref="BV31:BW31 BV39:BW39">
    <cfRule type="cellIs" dxfId="449" priority="826" operator="greaterThan">
      <formula>10</formula>
    </cfRule>
  </conditionalFormatting>
  <conditionalFormatting sqref="BW5:BW7 CE5:CE12 CM5:CM10">
    <cfRule type="containsText" dxfId="448" priority="619" operator="containsText" text="s">
      <formula>NOT(ISERROR(SEARCH("s",BW5)))</formula>
    </cfRule>
    <cfRule type="containsText" dxfId="447" priority="620" operator="containsText" text="n">
      <formula>NOT(ISERROR(SEARCH("n",BW5)))</formula>
    </cfRule>
    <cfRule type="cellIs" dxfId="446" priority="621" operator="greaterThan">
      <formula>9999.99</formula>
    </cfRule>
  </conditionalFormatting>
  <conditionalFormatting sqref="BW18:BW21 CM18:CM28 CM14:CM16 BW25:BW28 BW33:BW36 BW31 BW39">
    <cfRule type="containsText" dxfId="445" priority="823" operator="containsText" text="s">
      <formula>NOT(ISERROR(SEARCH("s",BW14)))</formula>
    </cfRule>
  </conditionalFormatting>
  <conditionalFormatting sqref="BW18:BW28">
    <cfRule type="containsText" dxfId="444" priority="223" operator="containsText" text="n">
      <formula>NOT(ISERROR(SEARCH("n",BW18)))</formula>
    </cfRule>
    <cfRule type="cellIs" dxfId="443" priority="224" operator="greaterThan">
      <formula>9999.99</formula>
    </cfRule>
  </conditionalFormatting>
  <conditionalFormatting sqref="BW20 BW31 BW33:BW36 BW39">
    <cfRule type="containsText" dxfId="442" priority="824" operator="containsText" text="n">
      <formula>NOT(ISERROR(SEARCH("n",BW20)))</formula>
    </cfRule>
    <cfRule type="cellIs" dxfId="441" priority="825" operator="greaterThan">
      <formula>9999.99</formula>
    </cfRule>
  </conditionalFormatting>
  <conditionalFormatting sqref="BW20">
    <cfRule type="containsText" dxfId="440" priority="819" operator="containsText" text="s">
      <formula>NOT(ISERROR(SEARCH("s",BW20)))</formula>
    </cfRule>
    <cfRule type="containsText" dxfId="439" priority="820" operator="containsText" text="n">
      <formula>NOT(ISERROR(SEARCH("n",BW20)))</formula>
    </cfRule>
    <cfRule type="cellIs" dxfId="438" priority="821" operator="greaterThan">
      <formula>9999.99</formula>
    </cfRule>
  </conditionalFormatting>
  <conditionalFormatting sqref="BW22:BW24">
    <cfRule type="containsText" dxfId="437" priority="222" operator="containsText" text="s">
      <formula>NOT(ISERROR(SEARCH("s",BW22)))</formula>
    </cfRule>
  </conditionalFormatting>
  <conditionalFormatting sqref="BW24">
    <cfRule type="cellIs" dxfId="436" priority="184" operator="greaterThan">
      <formula>10</formula>
    </cfRule>
  </conditionalFormatting>
  <conditionalFormatting sqref="BW28">
    <cfRule type="cellIs" dxfId="435" priority="545" operator="greaterThan">
      <formula>10</formula>
    </cfRule>
  </conditionalFormatting>
  <conditionalFormatting sqref="BW29:BW32">
    <cfRule type="containsText" dxfId="434" priority="828" operator="containsText" text="s">
      <formula>NOT(ISERROR(SEARCH("s",BW29)))</formula>
    </cfRule>
    <cfRule type="containsText" dxfId="433" priority="829" operator="containsText" text="n">
      <formula>NOT(ISERROR(SEARCH("n",BW29)))</formula>
    </cfRule>
  </conditionalFormatting>
  <conditionalFormatting sqref="BW31">
    <cfRule type="cellIs" dxfId="432" priority="831" operator="greaterThan">
      <formula>10</formula>
    </cfRule>
  </conditionalFormatting>
  <conditionalFormatting sqref="BW40:BX40">
    <cfRule type="cellIs" dxfId="431" priority="662" operator="greaterThan">
      <formula>4400000000</formula>
    </cfRule>
  </conditionalFormatting>
  <conditionalFormatting sqref="BX39">
    <cfRule type="cellIs" dxfId="430" priority="818" operator="greaterThan">
      <formula>4400000000</formula>
    </cfRule>
  </conditionalFormatting>
  <conditionalFormatting sqref="BY6">
    <cfRule type="cellIs" dxfId="429" priority="890" operator="greaterThan">
      <formula>5000000000</formula>
    </cfRule>
  </conditionalFormatting>
  <conditionalFormatting sqref="BY7">
    <cfRule type="cellIs" dxfId="428" priority="889" operator="greaterThan">
      <formula>100000000</formula>
    </cfRule>
  </conditionalFormatting>
  <conditionalFormatting sqref="BY12">
    <cfRule type="cellIs" dxfId="427" priority="218" operator="greaterThan">
      <formula>5000000000</formula>
    </cfRule>
  </conditionalFormatting>
  <conditionalFormatting sqref="BY14:BY16">
    <cfRule type="cellIs" dxfId="426" priority="214" operator="greaterThan">
      <formula>5000000000</formula>
    </cfRule>
  </conditionalFormatting>
  <conditionalFormatting sqref="BY18">
    <cfRule type="cellIs" dxfId="425" priority="192" operator="greaterThan">
      <formula>4400000000</formula>
    </cfRule>
  </conditionalFormatting>
  <conditionalFormatting sqref="BY20 BY35:BZ36">
    <cfRule type="cellIs" dxfId="424" priority="888" operator="greaterThan">
      <formula>4400000000</formula>
    </cfRule>
  </conditionalFormatting>
  <conditionalFormatting sqref="BY22:BY23">
    <cfRule type="cellIs" dxfId="423" priority="225" operator="greaterThan">
      <formula>4400000000</formula>
    </cfRule>
  </conditionalFormatting>
  <conditionalFormatting sqref="BY29:BY31">
    <cfRule type="cellIs" dxfId="422" priority="891" operator="greaterThan">
      <formula>5000000000</formula>
    </cfRule>
  </conditionalFormatting>
  <conditionalFormatting sqref="BY38">
    <cfRule type="cellIs" dxfId="421" priority="490" operator="greaterThan">
      <formula>10</formula>
    </cfRule>
    <cfRule type="cellIs" dxfId="420" priority="496" operator="greaterThan">
      <formula>9999.99</formula>
    </cfRule>
  </conditionalFormatting>
  <conditionalFormatting sqref="BY44">
    <cfRule type="cellIs" dxfId="419" priority="183" operator="greaterThan">
      <formula>5000000000</formula>
    </cfRule>
  </conditionalFormatting>
  <conditionalFormatting sqref="BY26:BZ27">
    <cfRule type="cellIs" dxfId="418" priority="892" operator="greaterThan">
      <formula>100000000</formula>
    </cfRule>
  </conditionalFormatting>
  <conditionalFormatting sqref="BY28:BZ28">
    <cfRule type="cellIs" dxfId="417" priority="540" operator="greaterThan">
      <formula>5000000000</formula>
    </cfRule>
  </conditionalFormatting>
  <conditionalFormatting sqref="BY39:BZ40">
    <cfRule type="cellIs" dxfId="416" priority="656" operator="greaterThan">
      <formula>5000000000</formula>
    </cfRule>
  </conditionalFormatting>
  <conditionalFormatting sqref="BZ12">
    <cfRule type="cellIs" dxfId="415" priority="215" operator="greaterThan">
      <formula>100000000</formula>
    </cfRule>
  </conditionalFormatting>
  <conditionalFormatting sqref="BZ14:BZ17">
    <cfRule type="cellIs" dxfId="414" priority="199" operator="greaterThan">
      <formula>100000000</formula>
    </cfRule>
  </conditionalFormatting>
  <conditionalFormatting sqref="BZ22:BZ23">
    <cfRule type="cellIs" dxfId="413" priority="200" operator="greaterThan">
      <formula>100000000</formula>
    </cfRule>
  </conditionalFormatting>
  <conditionalFormatting sqref="CA5:CA12">
    <cfRule type="cellIs" dxfId="412" priority="282" operator="greaterThan">
      <formula>43551</formula>
    </cfRule>
  </conditionalFormatting>
  <conditionalFormatting sqref="CB14:CB31">
    <cfRule type="cellIs" dxfId="411" priority="102" operator="greaterThan">
      <formula>11000000</formula>
    </cfRule>
  </conditionalFormatting>
  <conditionalFormatting sqref="CB32:CB40">
    <cfRule type="cellIs" dxfId="410" priority="105" operator="greaterThan">
      <formula>11000000</formula>
    </cfRule>
  </conditionalFormatting>
  <conditionalFormatting sqref="CC17:CC28">
    <cfRule type="cellIs" dxfId="409" priority="141" operator="greaterThan">
      <formula>9999.99</formula>
    </cfRule>
  </conditionalFormatting>
  <conditionalFormatting sqref="CC28">
    <cfRule type="cellIs" dxfId="408" priority="156" operator="greaterThan">
      <formula>10</formula>
    </cfRule>
  </conditionalFormatting>
  <conditionalFormatting sqref="CC29:CC31">
    <cfRule type="cellIs" dxfId="407" priority="134" operator="greaterThan">
      <formula>9999.99</formula>
    </cfRule>
  </conditionalFormatting>
  <conditionalFormatting sqref="CC34:CC37">
    <cfRule type="cellIs" dxfId="406" priority="114" operator="greaterThan">
      <formula>9999.99</formula>
    </cfRule>
  </conditionalFormatting>
  <conditionalFormatting sqref="CC37">
    <cfRule type="cellIs" dxfId="405" priority="113" operator="greaterThan">
      <formula>10</formula>
    </cfRule>
  </conditionalFormatting>
  <conditionalFormatting sqref="CC38:CC40">
    <cfRule type="cellIs" dxfId="404" priority="128" operator="greaterThan">
      <formula>9999.99</formula>
    </cfRule>
  </conditionalFormatting>
  <conditionalFormatting sqref="CC14:CD14">
    <cfRule type="cellIs" dxfId="403" priority="97" operator="equal">
      <formula>0</formula>
    </cfRule>
    <cfRule type="cellIs" dxfId="402" priority="99" operator="greaterThan">
      <formula>0</formula>
    </cfRule>
  </conditionalFormatting>
  <conditionalFormatting sqref="CC7:CE12">
    <cfRule type="cellIs" dxfId="401" priority="119" operator="greaterThan">
      <formula>10</formula>
    </cfRule>
  </conditionalFormatting>
  <conditionalFormatting sqref="CC14:CE14">
    <cfRule type="cellIs" dxfId="400" priority="98" operator="greaterThan">
      <formula>10</formula>
    </cfRule>
  </conditionalFormatting>
  <conditionalFormatting sqref="CC15:CE15">
    <cfRule type="cellIs" dxfId="399" priority="116" operator="greaterThan">
      <formula>10</formula>
    </cfRule>
  </conditionalFormatting>
  <conditionalFormatting sqref="CC16:CE16">
    <cfRule type="cellIs" dxfId="398" priority="103" operator="greaterThan">
      <formula>10</formula>
    </cfRule>
  </conditionalFormatting>
  <conditionalFormatting sqref="CC17:CE24">
    <cfRule type="cellIs" dxfId="397" priority="111" operator="greaterThan">
      <formula>10</formula>
    </cfRule>
  </conditionalFormatting>
  <conditionalFormatting sqref="CC25:CE25">
    <cfRule type="cellIs" dxfId="396" priority="160" operator="greaterThan">
      <formula>10</formula>
    </cfRule>
  </conditionalFormatting>
  <conditionalFormatting sqref="CC26:CE27">
    <cfRule type="cellIs" dxfId="395" priority="135" operator="greaterThan">
      <formula>10</formula>
    </cfRule>
  </conditionalFormatting>
  <conditionalFormatting sqref="CC29:CE31">
    <cfRule type="cellIs" dxfId="394" priority="96" operator="greaterThan">
      <formula>10</formula>
    </cfRule>
  </conditionalFormatting>
  <conditionalFormatting sqref="CC34:CE36">
    <cfRule type="cellIs" dxfId="393" priority="108" operator="greaterThan">
      <formula>10</formula>
    </cfRule>
  </conditionalFormatting>
  <conditionalFormatting sqref="CD8:CD9">
    <cfRule type="cellIs" dxfId="392" priority="112" operator="greaterThan">
      <formula>10</formula>
    </cfRule>
  </conditionalFormatting>
  <conditionalFormatting sqref="CD12">
    <cfRule type="cellIs" dxfId="391" priority="118" operator="greaterThan">
      <formula>0</formula>
    </cfRule>
  </conditionalFormatting>
  <conditionalFormatting sqref="CD15:CD22">
    <cfRule type="cellIs" dxfId="390" priority="115" operator="greaterThan">
      <formula>0</formula>
    </cfRule>
  </conditionalFormatting>
  <conditionalFormatting sqref="CD15:CD27">
    <cfRule type="cellIs" dxfId="389" priority="109" operator="equal">
      <formula>0</formula>
    </cfRule>
  </conditionalFormatting>
  <conditionalFormatting sqref="CD20">
    <cfRule type="cellIs" dxfId="388" priority="100" operator="greaterThan">
      <formula>0</formula>
    </cfRule>
    <cfRule type="cellIs" dxfId="387" priority="101" operator="greaterThan">
      <formula>10</formula>
    </cfRule>
  </conditionalFormatting>
  <conditionalFormatting sqref="CD23">
    <cfRule type="cellIs" dxfId="386" priority="110" operator="greaterThan">
      <formula>0</formula>
    </cfRule>
  </conditionalFormatting>
  <conditionalFormatting sqref="CD24">
    <cfRule type="cellIs" dxfId="385" priority="142" operator="greaterThan">
      <formula>0</formula>
    </cfRule>
  </conditionalFormatting>
  <conditionalFormatting sqref="CD25">
    <cfRule type="cellIs" dxfId="384" priority="168" operator="greaterThan">
      <formula>0</formula>
    </cfRule>
  </conditionalFormatting>
  <conditionalFormatting sqref="CD26:CD27">
    <cfRule type="cellIs" dxfId="383" priority="137" operator="greaterThan">
      <formula>0</formula>
    </cfRule>
  </conditionalFormatting>
  <conditionalFormatting sqref="CD29:CD31">
    <cfRule type="cellIs" dxfId="382" priority="95" operator="greaterThan">
      <formula>0</formula>
    </cfRule>
    <cfRule type="cellIs" dxfId="381" priority="130" operator="greaterThan">
      <formula>0</formula>
    </cfRule>
  </conditionalFormatting>
  <conditionalFormatting sqref="CD32:CD33">
    <cfRule type="cellIs" dxfId="380" priority="162" operator="greaterThan">
      <formula>10</formula>
    </cfRule>
  </conditionalFormatting>
  <conditionalFormatting sqref="CD35">
    <cfRule type="cellIs" dxfId="379" priority="107" operator="greaterThan">
      <formula>0</formula>
    </cfRule>
  </conditionalFormatting>
  <conditionalFormatting sqref="CD38:CD40 CD32:CD34 CD36">
    <cfRule type="cellIs" dxfId="378" priority="124" operator="greaterThan">
      <formula>0</formula>
    </cfRule>
  </conditionalFormatting>
  <conditionalFormatting sqref="CD38:CD40">
    <cfRule type="cellIs" dxfId="377" priority="123" operator="equal">
      <formula>0</formula>
    </cfRule>
  </conditionalFormatting>
  <conditionalFormatting sqref="CE32 CM29:CM32">
    <cfRule type="containsText" dxfId="376" priority="169" operator="containsText" text="s">
      <formula>NOT(ISERROR(SEARCH("s",CE29)))</formula>
    </cfRule>
    <cfRule type="containsText" dxfId="375" priority="170" operator="containsText" text="n">
      <formula>NOT(ISERROR(SEARCH("n",CE29)))</formula>
    </cfRule>
    <cfRule type="cellIs" dxfId="374" priority="171" operator="greaterThan">
      <formula>9999.99</formula>
    </cfRule>
    <cfRule type="cellIs" dxfId="373" priority="172" operator="greaterThan">
      <formula>10</formula>
    </cfRule>
  </conditionalFormatting>
  <conditionalFormatting sqref="CE14:CE24">
    <cfRule type="containsText" dxfId="372" priority="143" operator="containsText" text="s">
      <formula>NOT(ISERROR(SEARCH("s",CE14)))</formula>
    </cfRule>
  </conditionalFormatting>
  <conditionalFormatting sqref="CE14:CE25">
    <cfRule type="containsText" dxfId="371" priority="144" operator="containsText" text="n">
      <formula>NOT(ISERROR(SEARCH("n",CE14)))</formula>
    </cfRule>
    <cfRule type="cellIs" dxfId="370" priority="145" operator="greaterThan">
      <formula>9999.99</formula>
    </cfRule>
  </conditionalFormatting>
  <conditionalFormatting sqref="CE25 CE28">
    <cfRule type="containsText" dxfId="369" priority="167" operator="containsText" text="s">
      <formula>NOT(ISERROR(SEARCH("s",CE25)))</formula>
    </cfRule>
  </conditionalFormatting>
  <conditionalFormatting sqref="CE26:CE27">
    <cfRule type="containsText" dxfId="368" priority="138" operator="containsText" text="s">
      <formula>NOT(ISERROR(SEARCH("s",CE26)))</formula>
    </cfRule>
    <cfRule type="containsText" dxfId="367" priority="139" operator="containsText" text="n">
      <formula>NOT(ISERROR(SEARCH("n",CE26)))</formula>
    </cfRule>
    <cfRule type="cellIs" dxfId="366" priority="140" operator="greaterThan">
      <formula>9999.99</formula>
    </cfRule>
  </conditionalFormatting>
  <conditionalFormatting sqref="CE28">
    <cfRule type="cellIs" dxfId="365" priority="157" operator="greaterThan">
      <formula>10</formula>
    </cfRule>
    <cfRule type="containsText" dxfId="364" priority="158" operator="containsText" text="n">
      <formula>NOT(ISERROR(SEARCH("n",CE28)))</formula>
    </cfRule>
    <cfRule type="cellIs" dxfId="363" priority="159" operator="greaterThan">
      <formula>9999.99</formula>
    </cfRule>
  </conditionalFormatting>
  <conditionalFormatting sqref="CE29:CE31">
    <cfRule type="containsText" dxfId="362" priority="131" operator="containsText" text="s">
      <formula>NOT(ISERROR(SEARCH("s",CE29)))</formula>
    </cfRule>
    <cfRule type="containsText" dxfId="361" priority="132" operator="containsText" text="n">
      <formula>NOT(ISERROR(SEARCH("n",CE29)))</formula>
    </cfRule>
    <cfRule type="cellIs" dxfId="360" priority="133" operator="greaterThan">
      <formula>9999.99</formula>
    </cfRule>
  </conditionalFormatting>
  <conditionalFormatting sqref="CE33">
    <cfRule type="cellIs" dxfId="359" priority="163" operator="greaterThan">
      <formula>10</formula>
    </cfRule>
  </conditionalFormatting>
  <conditionalFormatting sqref="CE33:CE40">
    <cfRule type="containsText" dxfId="358" priority="125" operator="containsText" text="s">
      <formula>NOT(ISERROR(SEARCH("s",CE33)))</formula>
    </cfRule>
    <cfRule type="containsText" dxfId="357" priority="126" operator="containsText" text="n">
      <formula>NOT(ISERROR(SEARCH("n",CE33)))</formula>
    </cfRule>
    <cfRule type="cellIs" dxfId="356" priority="127" operator="greaterThan">
      <formula>9999.99</formula>
    </cfRule>
  </conditionalFormatting>
  <conditionalFormatting sqref="CE37 CC38:CE40">
    <cfRule type="cellIs" dxfId="355" priority="121" operator="greaterThan">
      <formula>10</formula>
    </cfRule>
  </conditionalFormatting>
  <conditionalFormatting sqref="CF5:CF12">
    <cfRule type="cellIs" dxfId="354" priority="154" operator="greaterThan">
      <formula>4400000000</formula>
    </cfRule>
  </conditionalFormatting>
  <conditionalFormatting sqref="CG6:CG12">
    <cfRule type="cellIs" dxfId="353" priority="104" operator="greaterThan">
      <formula>5000000000</formula>
    </cfRule>
  </conditionalFormatting>
  <conditionalFormatting sqref="CH5:CH12">
    <cfRule type="cellIs" dxfId="352" priority="148" operator="greaterThan">
      <formula>5000000000</formula>
    </cfRule>
  </conditionalFormatting>
  <conditionalFormatting sqref="CI5:CI12">
    <cfRule type="cellIs" dxfId="351" priority="146" operator="greaterThan">
      <formula>43551</formula>
    </cfRule>
  </conditionalFormatting>
  <conditionalFormatting sqref="CI14:CI27">
    <cfRule type="cellIs" dxfId="350" priority="136" operator="greaterThan">
      <formula>43551</formula>
    </cfRule>
  </conditionalFormatting>
  <conditionalFormatting sqref="CJ14:CJ31">
    <cfRule type="cellIs" dxfId="349" priority="442" operator="greaterThan">
      <formula>11000000</formula>
    </cfRule>
  </conditionalFormatting>
  <conditionalFormatting sqref="CJ39:CJ40">
    <cfRule type="cellIs" dxfId="348" priority="522" operator="greaterThan">
      <formula>11000000</formula>
    </cfRule>
  </conditionalFormatting>
  <conditionalFormatting sqref="CK5">
    <cfRule type="cellIs" dxfId="347" priority="805" operator="greaterThan">
      <formula>10</formula>
    </cfRule>
  </conditionalFormatting>
  <conditionalFormatting sqref="CK6:CK10">
    <cfRule type="cellIs" dxfId="346" priority="883" operator="greaterThan">
      <formula>9999.99</formula>
    </cfRule>
    <cfRule type="cellIs" dxfId="345" priority="884" operator="greaterThan">
      <formula>10</formula>
    </cfRule>
  </conditionalFormatting>
  <conditionalFormatting sqref="CK12">
    <cfRule type="cellIs" dxfId="344" priority="697" operator="greaterThan">
      <formula>9999.99</formula>
    </cfRule>
    <cfRule type="cellIs" dxfId="343" priority="698" operator="greaterThan">
      <formula>10</formula>
    </cfRule>
  </conditionalFormatting>
  <conditionalFormatting sqref="CK17">
    <cfRule type="cellIs" dxfId="342" priority="450" operator="greaterThan">
      <formula>9999.99</formula>
    </cfRule>
    <cfRule type="cellIs" dxfId="341" priority="451" operator="greaterThan">
      <formula>10</formula>
    </cfRule>
  </conditionalFormatting>
  <conditionalFormatting sqref="CK28">
    <cfRule type="cellIs" dxfId="340" priority="529" operator="greaterThan">
      <formula>10</formula>
    </cfRule>
  </conditionalFormatting>
  <conditionalFormatting sqref="CK34:CK36">
    <cfRule type="cellIs" dxfId="339" priority="755" operator="greaterThan">
      <formula>10</formula>
    </cfRule>
  </conditionalFormatting>
  <conditionalFormatting sqref="CK39:CK40">
    <cfRule type="cellIs" dxfId="338" priority="658" operator="greaterThan">
      <formula>10</formula>
    </cfRule>
  </conditionalFormatting>
  <conditionalFormatting sqref="CK11:CL11">
    <cfRule type="cellIs" dxfId="337" priority="552" operator="greaterThan">
      <formula>9999.99</formula>
    </cfRule>
    <cfRule type="cellIs" dxfId="336" priority="553" operator="greaterThan">
      <formula>10</formula>
    </cfRule>
  </conditionalFormatting>
  <conditionalFormatting sqref="CK20:CL20">
    <cfRule type="cellIs" dxfId="335" priority="806" operator="greaterThan">
      <formula>9999.99</formula>
    </cfRule>
    <cfRule type="cellIs" dxfId="334" priority="807" operator="greaterThan">
      <formula>10</formula>
    </cfRule>
  </conditionalFormatting>
  <conditionalFormatting sqref="CK29:CL30">
    <cfRule type="cellIs" dxfId="333" priority="663" operator="greaterThan">
      <formula>9999.99</formula>
    </cfRule>
  </conditionalFormatting>
  <conditionalFormatting sqref="CK29:CL31">
    <cfRule type="cellIs" dxfId="332" priority="814" operator="greaterThan">
      <formula>10</formula>
    </cfRule>
  </conditionalFormatting>
  <conditionalFormatting sqref="CK31:CL31">
    <cfRule type="cellIs" dxfId="331" priority="813" operator="greaterThan">
      <formula>9999.99</formula>
    </cfRule>
  </conditionalFormatting>
  <conditionalFormatting sqref="CL14:CL27">
    <cfRule type="cellIs" dxfId="330" priority="441" operator="equal">
      <formula>0</formula>
    </cfRule>
  </conditionalFormatting>
  <conditionalFormatting sqref="CL17">
    <cfRule type="cellIs" dxfId="329" priority="443" operator="greaterThan">
      <formula>0</formula>
    </cfRule>
  </conditionalFormatting>
  <conditionalFormatting sqref="CL31">
    <cfRule type="cellIs" dxfId="328" priority="942" operator="greaterThan">
      <formula>10</formula>
    </cfRule>
  </conditionalFormatting>
  <conditionalFormatting sqref="CL39:CL40">
    <cfRule type="cellIs" dxfId="327" priority="659" operator="greaterThan">
      <formula>0</formula>
    </cfRule>
    <cfRule type="cellIs" dxfId="326" priority="660" operator="greaterThan">
      <formula>10</formula>
    </cfRule>
  </conditionalFormatting>
  <conditionalFormatting sqref="CL5:CM10">
    <cfRule type="cellIs" dxfId="325" priority="812" operator="greaterThan">
      <formula>10</formula>
    </cfRule>
  </conditionalFormatting>
  <conditionalFormatting sqref="CL17:CM17">
    <cfRule type="cellIs" dxfId="324" priority="449" operator="greaterThan">
      <formula>10</formula>
    </cfRule>
  </conditionalFormatting>
  <conditionalFormatting sqref="CL20:CM20">
    <cfRule type="cellIs" dxfId="323" priority="763" operator="greaterThan">
      <formula>10</formula>
    </cfRule>
  </conditionalFormatting>
  <conditionalFormatting sqref="CM12">
    <cfRule type="containsText" dxfId="322" priority="756" operator="containsText" text="s">
      <formula>NOT(ISERROR(SEARCH("s",CM12)))</formula>
    </cfRule>
    <cfRule type="containsText" dxfId="321" priority="757" operator="containsText" text="n">
      <formula>NOT(ISERROR(SEARCH("n",CM12)))</formula>
    </cfRule>
    <cfRule type="cellIs" dxfId="320" priority="758" operator="greaterThan">
      <formula>9999.99</formula>
    </cfRule>
    <cfRule type="cellIs" dxfId="319" priority="759" operator="greaterThan">
      <formula>10</formula>
    </cfRule>
  </conditionalFormatting>
  <conditionalFormatting sqref="CM14:CM17">
    <cfRule type="containsText" dxfId="318" priority="446" operator="containsText" text="n">
      <formula>NOT(ISERROR(SEARCH("n",CM14)))</formula>
    </cfRule>
    <cfRule type="cellIs" dxfId="317" priority="447" operator="greaterThan">
      <formula>9999.99</formula>
    </cfRule>
  </conditionalFormatting>
  <conditionalFormatting sqref="CM17">
    <cfRule type="containsText" dxfId="316" priority="445" operator="containsText" text="s">
      <formula>NOT(ISERROR(SEARCH("s",CM17)))</formula>
    </cfRule>
  </conditionalFormatting>
  <conditionalFormatting sqref="CM18:CM28">
    <cfRule type="containsText" dxfId="315" priority="543" operator="containsText" text="n">
      <formula>NOT(ISERROR(SEARCH("n",CM18)))</formula>
    </cfRule>
    <cfRule type="cellIs" dxfId="314" priority="544" operator="greaterThan">
      <formula>9999.99</formula>
    </cfRule>
  </conditionalFormatting>
  <conditionalFormatting sqref="CM19:CM20">
    <cfRule type="containsText" dxfId="313" priority="880" operator="containsText" text="n">
      <formula>NOT(ISERROR(SEARCH("n",CM19)))</formula>
    </cfRule>
    <cfRule type="cellIs" dxfId="312" priority="881" operator="greaterThan">
      <formula>9999.99</formula>
    </cfRule>
    <cfRule type="cellIs" dxfId="311" priority="882" operator="greaterThan">
      <formula>10</formula>
    </cfRule>
  </conditionalFormatting>
  <conditionalFormatting sqref="CM20">
    <cfRule type="containsText" dxfId="310" priority="760" operator="containsText" text="s">
      <formula>NOT(ISERROR(SEARCH("s",CM20)))</formula>
    </cfRule>
    <cfRule type="containsText" dxfId="309" priority="761" operator="containsText" text="n">
      <formula>NOT(ISERROR(SEARCH("n",CM20)))</formula>
    </cfRule>
    <cfRule type="cellIs" dxfId="308" priority="762" operator="greaterThan">
      <formula>9999.99</formula>
    </cfRule>
  </conditionalFormatting>
  <conditionalFormatting sqref="CM20">
    <cfRule type="containsText" dxfId="307" priority="808" operator="containsText" text="s">
      <formula>NOT(ISERROR(SEARCH("s",CM20)))</formula>
    </cfRule>
    <cfRule type="containsText" dxfId="306" priority="809" operator="containsText" text="n">
      <formula>NOT(ISERROR(SEARCH("n",CM20)))</formula>
    </cfRule>
    <cfRule type="cellIs" dxfId="305" priority="810" operator="greaterThan">
      <formula>9999.99</formula>
    </cfRule>
    <cfRule type="cellIs" dxfId="304" priority="811" operator="greaterThan">
      <formula>10</formula>
    </cfRule>
  </conditionalFormatting>
  <conditionalFormatting sqref="CM28">
    <cfRule type="cellIs" dxfId="303" priority="535" operator="greaterThan">
      <formula>10</formula>
    </cfRule>
  </conditionalFormatting>
  <conditionalFormatting sqref="CM31">
    <cfRule type="containsText" dxfId="302" priority="872" operator="containsText" text="s">
      <formula>NOT(ISERROR(SEARCH("s",CM31)))</formula>
    </cfRule>
    <cfRule type="containsText" dxfId="301" priority="873" operator="containsText" text="n">
      <formula>NOT(ISERROR(SEARCH("n",CM31)))</formula>
    </cfRule>
    <cfRule type="cellIs" dxfId="300" priority="874" operator="greaterThan">
      <formula>9999.99</formula>
    </cfRule>
    <cfRule type="cellIs" dxfId="299" priority="875" operator="greaterThan">
      <formula>10</formula>
    </cfRule>
  </conditionalFormatting>
  <conditionalFormatting sqref="CM33:CM36">
    <cfRule type="containsText" dxfId="298" priority="798" operator="containsText" text="s">
      <formula>NOT(ISERROR(SEARCH("s",CM33)))</formula>
    </cfRule>
    <cfRule type="containsText" dxfId="297" priority="799" operator="containsText" text="n">
      <formula>NOT(ISERROR(SEARCH("n",CM33)))</formula>
    </cfRule>
    <cfRule type="cellIs" dxfId="296" priority="800" operator="greaterThan">
      <formula>9999.99</formula>
    </cfRule>
    <cfRule type="cellIs" dxfId="295" priority="801" operator="greaterThan">
      <formula>10</formula>
    </cfRule>
  </conditionalFormatting>
  <conditionalFormatting sqref="CM39">
    <cfRule type="containsText" dxfId="294" priority="868" operator="containsText" text="s">
      <formula>NOT(ISERROR(SEARCH("s",CM39)))</formula>
    </cfRule>
    <cfRule type="containsText" dxfId="293" priority="869" operator="containsText" text="n">
      <formula>NOT(ISERROR(SEARCH("n",CM39)))</formula>
    </cfRule>
    <cfRule type="cellIs" dxfId="292" priority="870" operator="greaterThan">
      <formula>9999.99</formula>
    </cfRule>
    <cfRule type="cellIs" dxfId="291" priority="871" operator="greaterThan">
      <formula>10</formula>
    </cfRule>
  </conditionalFormatting>
  <conditionalFormatting sqref="CM11:CN11">
    <cfRule type="cellIs" dxfId="290" priority="555" operator="greaterThan">
      <formula>4400000000</formula>
    </cfRule>
  </conditionalFormatting>
  <conditionalFormatting sqref="CM40:CN40">
    <cfRule type="cellIs" dxfId="289" priority="661" operator="greaterThan">
      <formula>4400000000</formula>
    </cfRule>
  </conditionalFormatting>
  <conditionalFormatting sqref="CN12">
    <cfRule type="cellIs" dxfId="288" priority="665" operator="greaterThan">
      <formula>4400000000</formula>
    </cfRule>
  </conditionalFormatting>
  <conditionalFormatting sqref="CN38:CO38">
    <cfRule type="cellIs" dxfId="287" priority="438" operator="greaterThan">
      <formula>4400000000</formula>
    </cfRule>
  </conditionalFormatting>
  <conditionalFormatting sqref="CO20:CO21">
    <cfRule type="cellIs" dxfId="286" priority="941" operator="greaterThan">
      <formula>5000000000</formula>
    </cfRule>
  </conditionalFormatting>
  <conditionalFormatting sqref="CO21">
    <cfRule type="cellIs" dxfId="285" priority="439" operator="greaterThan">
      <formula>4400000000</formula>
    </cfRule>
  </conditionalFormatting>
  <conditionalFormatting sqref="CO11:CP11">
    <cfRule type="cellIs" dxfId="284" priority="605" operator="greaterThan">
      <formula>10</formula>
    </cfRule>
  </conditionalFormatting>
  <conditionalFormatting sqref="CO12:CP12">
    <cfRule type="cellIs" dxfId="283" priority="614" operator="greaterThan">
      <formula>5000000000</formula>
    </cfRule>
  </conditionalFormatting>
  <conditionalFormatting sqref="CO17:CP17">
    <cfRule type="cellIs" dxfId="282" priority="448" operator="greaterThan">
      <formula>100000000</formula>
    </cfRule>
  </conditionalFormatting>
  <conditionalFormatting sqref="CO20:CP20 BP25:BQ25 AU39 S39:S40 BB39:BB40 BI39:BI40 BP39:BP40">
    <cfRule type="cellIs" dxfId="281" priority="804" operator="greaterThan">
      <formula>4400000000</formula>
    </cfRule>
  </conditionalFormatting>
  <conditionalFormatting sqref="CO26:CP27">
    <cfRule type="cellIs" dxfId="280" priority="887" operator="greaterThan">
      <formula>100000000</formula>
    </cfRule>
  </conditionalFormatting>
  <conditionalFormatting sqref="CO35:CP36">
    <cfRule type="cellIs" dxfId="279" priority="885" operator="greaterThan">
      <formula>4400000000</formula>
    </cfRule>
  </conditionalFormatting>
  <conditionalFormatting sqref="CP39 CO40:CP40">
    <cfRule type="cellIs" dxfId="278" priority="886" operator="greaterThan">
      <formula>5000000000</formula>
    </cfRule>
  </conditionalFormatting>
  <conditionalFormatting sqref="CQ14:CQ27">
    <cfRule type="cellIs" dxfId="277" priority="281" operator="greaterThan">
      <formula>43551</formula>
    </cfRule>
  </conditionalFormatting>
  <conditionalFormatting sqref="N5">
    <cfRule type="cellIs" dxfId="276" priority="86" operator="greaterThan">
      <formula>43551</formula>
    </cfRule>
  </conditionalFormatting>
  <conditionalFormatting sqref="J5:J12">
    <cfRule type="cellIs" dxfId="275" priority="80" operator="greaterThan">
      <formula>9999.99</formula>
    </cfRule>
  </conditionalFormatting>
  <conditionalFormatting sqref="J5:J12">
    <cfRule type="cellIs" dxfId="274" priority="81" operator="greaterThan">
      <formula>10</formula>
    </cfRule>
  </conditionalFormatting>
  <conditionalFormatting sqref="J14:J24 J26:J27">
    <cfRule type="cellIs" dxfId="273" priority="78" operator="greaterThan">
      <formula>9999.99</formula>
    </cfRule>
  </conditionalFormatting>
  <conditionalFormatting sqref="J14:J24 J26:J27">
    <cfRule type="cellIs" dxfId="272" priority="79" operator="greaterThan">
      <formula>10</formula>
    </cfRule>
  </conditionalFormatting>
  <conditionalFormatting sqref="K5:K12 K40 K29:K31 K34:K38">
    <cfRule type="cellIs" dxfId="271" priority="75" operator="greaterThan">
      <formula>0</formula>
    </cfRule>
  </conditionalFormatting>
  <conditionalFormatting sqref="K5:K12">
    <cfRule type="cellIs" dxfId="270" priority="73" operator="equal">
      <formula>0</formula>
    </cfRule>
  </conditionalFormatting>
  <conditionalFormatting sqref="I5:I12">
    <cfRule type="cellIs" dxfId="269" priority="66" operator="greaterThan">
      <formula>11000000</formula>
    </cfRule>
  </conditionalFormatting>
  <conditionalFormatting sqref="K14:K24 K26:K27">
    <cfRule type="cellIs" dxfId="268" priority="65" operator="greaterThan">
      <formula>0</formula>
    </cfRule>
  </conditionalFormatting>
  <conditionalFormatting sqref="K14:K24 K26:K27">
    <cfRule type="cellIs" dxfId="267" priority="64" operator="equal">
      <formula>0</formula>
    </cfRule>
  </conditionalFormatting>
  <conditionalFormatting sqref="M5">
    <cfRule type="cellIs" dxfId="266" priority="50" operator="greaterThan">
      <formula>100000000</formula>
    </cfRule>
  </conditionalFormatting>
  <conditionalFormatting sqref="K39">
    <cfRule type="cellIs" dxfId="265" priority="46" operator="greaterThan">
      <formula>10</formula>
    </cfRule>
  </conditionalFormatting>
  <conditionalFormatting sqref="K39">
    <cfRule type="cellIs" dxfId="264" priority="45" operator="greaterThan">
      <formula>9999.99</formula>
    </cfRule>
  </conditionalFormatting>
  <conditionalFormatting sqref="N39">
    <cfRule type="cellIs" dxfId="263" priority="44" operator="greaterThan">
      <formula>10</formula>
    </cfRule>
  </conditionalFormatting>
  <conditionalFormatting sqref="N39">
    <cfRule type="cellIs" dxfId="262" priority="43" operator="greaterThan">
      <formula>9999.99</formula>
    </cfRule>
  </conditionalFormatting>
  <conditionalFormatting sqref="O39">
    <cfRule type="cellIs" dxfId="261" priority="42" operator="greaterThan">
      <formula>10</formula>
    </cfRule>
  </conditionalFormatting>
  <conditionalFormatting sqref="O39">
    <cfRule type="cellIs" dxfId="260" priority="41" operator="greaterThan">
      <formula>9999.99</formula>
    </cfRule>
  </conditionalFormatting>
  <conditionalFormatting sqref="J25">
    <cfRule type="cellIs" dxfId="259" priority="40" operator="greaterThan">
      <formula>11000000</formula>
    </cfRule>
  </conditionalFormatting>
  <conditionalFormatting sqref="K25">
    <cfRule type="cellIs" dxfId="258" priority="39" operator="greaterThan">
      <formula>11000000</formula>
    </cfRule>
  </conditionalFormatting>
  <conditionalFormatting sqref="I32">
    <cfRule type="cellIs" dxfId="257" priority="38" operator="greaterThan">
      <formula>11000000</formula>
    </cfRule>
  </conditionalFormatting>
  <conditionalFormatting sqref="I33">
    <cfRule type="cellIs" dxfId="256" priority="37" operator="greaterThan">
      <formula>11000000</formula>
    </cfRule>
  </conditionalFormatting>
  <conditionalFormatting sqref="J32:J33">
    <cfRule type="cellIs" dxfId="255" priority="35" operator="greaterThan">
      <formula>9999.99</formula>
    </cfRule>
  </conditionalFormatting>
  <conditionalFormatting sqref="J32:J33">
    <cfRule type="cellIs" dxfId="254" priority="36" operator="greaterThan">
      <formula>10</formula>
    </cfRule>
  </conditionalFormatting>
  <conditionalFormatting sqref="K32:K33">
    <cfRule type="cellIs" dxfId="253" priority="34" operator="greaterThan">
      <formula>0</formula>
    </cfRule>
  </conditionalFormatting>
  <conditionalFormatting sqref="K32:K33">
    <cfRule type="cellIs" dxfId="252" priority="33" operator="equal">
      <formula>0</formula>
    </cfRule>
  </conditionalFormatting>
  <conditionalFormatting sqref="L32:L33">
    <cfRule type="cellIs" dxfId="251" priority="32" operator="greaterThan">
      <formula>4400000000</formula>
    </cfRule>
  </conditionalFormatting>
  <conditionalFormatting sqref="U12">
    <cfRule type="cellIs" dxfId="250" priority="31" operator="greaterThan">
      <formula>5000000000</formula>
    </cfRule>
  </conditionalFormatting>
  <conditionalFormatting sqref="T5:T10">
    <cfRule type="cellIs" dxfId="249" priority="29" operator="greaterThan">
      <formula>100000000</formula>
    </cfRule>
  </conditionalFormatting>
  <conditionalFormatting sqref="P5:P12">
    <cfRule type="cellIs" dxfId="248" priority="28" operator="greaterThan">
      <formula>11000000</formula>
    </cfRule>
  </conditionalFormatting>
  <conditionalFormatting sqref="R5:R12">
    <cfRule type="cellIs" dxfId="247" priority="27" operator="greaterThan">
      <formula>0</formula>
    </cfRule>
  </conditionalFormatting>
  <conditionalFormatting sqref="R5:R12">
    <cfRule type="cellIs" dxfId="246" priority="26" operator="equal">
      <formula>0</formula>
    </cfRule>
  </conditionalFormatting>
  <conditionalFormatting sqref="Q5:Q12">
    <cfRule type="cellIs" dxfId="245" priority="24" operator="greaterThan">
      <formula>9999.99</formula>
    </cfRule>
  </conditionalFormatting>
  <conditionalFormatting sqref="Q5:Q12">
    <cfRule type="cellIs" dxfId="244" priority="25" operator="greaterThan">
      <formula>10</formula>
    </cfRule>
  </conditionalFormatting>
  <conditionalFormatting sqref="T14:T16">
    <cfRule type="cellIs" dxfId="243" priority="23" operator="greaterThan">
      <formula>5000000000</formula>
    </cfRule>
  </conditionalFormatting>
  <conditionalFormatting sqref="T17:T27">
    <cfRule type="cellIs" dxfId="242" priority="22" operator="greaterThan">
      <formula>10</formula>
    </cfRule>
  </conditionalFormatting>
  <conditionalFormatting sqref="U7:U10">
    <cfRule type="cellIs" dxfId="241" priority="21" operator="greaterThan">
      <formula>5000000000</formula>
    </cfRule>
  </conditionalFormatting>
  <conditionalFormatting sqref="P16:P27">
    <cfRule type="cellIs" dxfId="240" priority="20" operator="greaterThan">
      <formula>11000000</formula>
    </cfRule>
  </conditionalFormatting>
  <conditionalFormatting sqref="Q16:Q27">
    <cfRule type="cellIs" dxfId="239" priority="18" operator="greaterThan">
      <formula>9999.99</formula>
    </cfRule>
  </conditionalFormatting>
  <conditionalFormatting sqref="Q16:Q27">
    <cfRule type="cellIs" dxfId="238" priority="19" operator="greaterThan">
      <formula>10</formula>
    </cfRule>
  </conditionalFormatting>
  <conditionalFormatting sqref="R14:R27">
    <cfRule type="cellIs" dxfId="237" priority="17" operator="greaterThan">
      <formula>0</formula>
    </cfRule>
  </conditionalFormatting>
  <conditionalFormatting sqref="R14:R27">
    <cfRule type="cellIs" dxfId="236" priority="16" operator="equal">
      <formula>0</formula>
    </cfRule>
  </conditionalFormatting>
  <conditionalFormatting sqref="R29:R40">
    <cfRule type="cellIs" dxfId="235" priority="15" operator="greaterThan">
      <formula>0</formula>
    </cfRule>
  </conditionalFormatting>
  <conditionalFormatting sqref="R29:R40">
    <cfRule type="cellIs" dxfId="234" priority="14" operator="equal">
      <formula>0</formula>
    </cfRule>
  </conditionalFormatting>
  <conditionalFormatting sqref="Q29:Q40">
    <cfRule type="cellIs" dxfId="233" priority="12" operator="greaterThan">
      <formula>9999.99</formula>
    </cfRule>
  </conditionalFormatting>
  <conditionalFormatting sqref="Q29:Q40">
    <cfRule type="cellIs" dxfId="232" priority="13" operator="greaterThan">
      <formula>10</formula>
    </cfRule>
  </conditionalFormatting>
  <conditionalFormatting sqref="P29:P40">
    <cfRule type="cellIs" dxfId="231" priority="11" operator="greaterThan">
      <formula>11000000</formula>
    </cfRule>
  </conditionalFormatting>
  <conditionalFormatting sqref="U14:U27">
    <cfRule type="cellIs" dxfId="230" priority="10" operator="greaterThan">
      <formula>5000000000</formula>
    </cfRule>
  </conditionalFormatting>
  <conditionalFormatting sqref="U29:U40">
    <cfRule type="cellIs" dxfId="229" priority="9" operator="greaterThan">
      <formula>5000000000</formula>
    </cfRule>
  </conditionalFormatting>
  <conditionalFormatting sqref="V14:V27">
    <cfRule type="cellIs" dxfId="228" priority="8" operator="greaterThan">
      <formula>43551</formula>
    </cfRule>
  </conditionalFormatting>
  <conditionalFormatting sqref="V5:V12">
    <cfRule type="cellIs" dxfId="227" priority="7" operator="greaterThan">
      <formula>43551</formula>
    </cfRule>
  </conditionalFormatting>
  <conditionalFormatting sqref="P14">
    <cfRule type="cellIs" dxfId="226" priority="6" operator="greaterThan">
      <formula>11000000</formula>
    </cfRule>
  </conditionalFormatting>
  <conditionalFormatting sqref="Q14">
    <cfRule type="cellIs" dxfId="225" priority="4" operator="greaterThan">
      <formula>9999.99</formula>
    </cfRule>
  </conditionalFormatting>
  <conditionalFormatting sqref="Q14">
    <cfRule type="cellIs" dxfId="224" priority="5" operator="greaterThan">
      <formula>10</formula>
    </cfRule>
  </conditionalFormatting>
  <conditionalFormatting sqref="P15">
    <cfRule type="cellIs" dxfId="223" priority="3" operator="greaterThan">
      <formula>11000000</formula>
    </cfRule>
  </conditionalFormatting>
  <conditionalFormatting sqref="Q15">
    <cfRule type="cellIs" dxfId="222" priority="1" operator="greaterThan">
      <formula>9999.99</formula>
    </cfRule>
  </conditionalFormatting>
  <conditionalFormatting sqref="Q15">
    <cfRule type="cellIs" dxfId="221" priority="2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A935-90A9-4C3B-898F-F43B366D83DF}">
  <sheetPr codeName="Planilha5"/>
  <dimension ref="A1:CI38"/>
  <sheetViews>
    <sheetView topLeftCell="A3" zoomScaleNormal="100" workbookViewId="0">
      <pane xSplit="3" ySplit="3" topLeftCell="I6" activePane="bottomRight" state="frozen"/>
      <selection pane="topRight" activeCell="D3" sqref="D3"/>
      <selection pane="bottomLeft" activeCell="A5" sqref="A5"/>
      <selection pane="bottomRight" activeCell="I35" sqref="I35"/>
    </sheetView>
  </sheetViews>
  <sheetFormatPr defaultRowHeight="15" outlineLevelCol="1" x14ac:dyDescent="0.25"/>
  <cols>
    <col min="1" max="1" width="45.7109375" bestFit="1" customWidth="1"/>
    <col min="2" max="2" width="24.42578125" bestFit="1" customWidth="1"/>
    <col min="3" max="3" width="9.140625" bestFit="1" customWidth="1"/>
    <col min="4" max="4" width="14.140625" bestFit="1" customWidth="1"/>
    <col min="5" max="7" width="14.140625" customWidth="1"/>
    <col min="8" max="8" width="22.28515625" bestFit="1" customWidth="1"/>
    <col min="9" max="9" width="19.5703125" bestFit="1" customWidth="1"/>
    <col min="10" max="10" width="14.28515625" bestFit="1" customWidth="1"/>
    <col min="11" max="11" width="9.140625" hidden="1" customWidth="1" outlineLevel="1"/>
    <col min="12" max="12" width="23.140625" hidden="1" customWidth="1" outlineLevel="1"/>
    <col min="13" max="13" width="47.42578125" hidden="1" customWidth="1" outlineLevel="1"/>
    <col min="14" max="14" width="10.42578125" hidden="1" customWidth="1" outlineLevel="1"/>
    <col min="15" max="15" width="17" bestFit="1" customWidth="1" collapsed="1"/>
    <col min="16" max="16" width="12.7109375" bestFit="1" customWidth="1"/>
    <col min="17" max="17" width="14.28515625" bestFit="1" customWidth="1"/>
    <col min="18" max="18" width="50.42578125" customWidth="1" outlineLevel="1"/>
    <col min="19" max="19" width="40.7109375" customWidth="1" outlineLevel="1"/>
    <col min="20" max="20" width="10.42578125" customWidth="1" outlineLevel="1"/>
    <col min="21" max="21" width="9.85546875" customWidth="1"/>
    <col min="22" max="22" width="17.140625" customWidth="1"/>
    <col min="23" max="23" width="13.7109375" bestFit="1" customWidth="1"/>
    <col min="24" max="24" width="15" customWidth="1" outlineLevel="1"/>
    <col min="25" max="25" width="40.7109375" customWidth="1" outlineLevel="1"/>
    <col min="26" max="26" width="9.140625" customWidth="1" outlineLevel="1"/>
    <col min="28" max="28" width="10.42578125" bestFit="1" customWidth="1"/>
    <col min="29" max="29" width="17.7109375" customWidth="1"/>
    <col min="30" max="30" width="12.7109375" customWidth="1" outlineLevel="1"/>
    <col min="31" max="31" width="40.7109375" customWidth="1" outlineLevel="1"/>
    <col min="32" max="32" width="10.42578125" customWidth="1" outlineLevel="1"/>
    <col min="33" max="33" width="15.5703125" customWidth="1"/>
    <col min="34" max="34" width="13.28515625" customWidth="1"/>
    <col min="35" max="35" width="13.7109375" bestFit="1" customWidth="1"/>
    <col min="36" max="36" width="25.5703125" bestFit="1" customWidth="1"/>
    <col min="37" max="37" width="40.7109375" bestFit="1" customWidth="1"/>
    <col min="40" max="40" width="12.140625" bestFit="1" customWidth="1"/>
    <col min="41" max="41" width="14.28515625" bestFit="1" customWidth="1"/>
    <col min="42" max="42" width="23.28515625" bestFit="1" customWidth="1"/>
    <col min="43" max="43" width="42.28515625" customWidth="1"/>
    <col min="44" max="44" width="10.42578125" customWidth="1"/>
    <col min="45" max="45" width="15.42578125" customWidth="1"/>
    <col min="46" max="46" width="19.28515625" customWidth="1"/>
    <col min="47" max="47" width="14.28515625" customWidth="1"/>
    <col min="48" max="48" width="27.42578125" customWidth="1"/>
    <col min="49" max="49" width="26.7109375" bestFit="1" customWidth="1"/>
    <col min="50" max="50" width="10" bestFit="1" customWidth="1"/>
    <col min="51" max="51" width="15.42578125" bestFit="1" customWidth="1"/>
    <col min="52" max="52" width="35.85546875" customWidth="1"/>
    <col min="53" max="53" width="17.28515625" bestFit="1" customWidth="1"/>
    <col min="54" max="54" width="32.42578125" customWidth="1"/>
    <col min="55" max="55" width="39.85546875" customWidth="1"/>
    <col min="56" max="56" width="10.28515625" bestFit="1" customWidth="1"/>
    <col min="57" max="57" width="15.7109375" bestFit="1" customWidth="1"/>
    <col min="58" max="58" width="28.28515625" customWidth="1"/>
    <col min="59" max="59" width="22.5703125" customWidth="1"/>
    <col min="61" max="61" width="17.7109375" customWidth="1"/>
    <col min="62" max="62" width="32.7109375" customWidth="1"/>
    <col min="64" max="64" width="8.28515625" customWidth="1"/>
    <col min="65" max="65" width="12.85546875" customWidth="1"/>
    <col min="66" max="66" width="14.28515625" bestFit="1" customWidth="1"/>
    <col min="68" max="68" width="15.42578125" customWidth="1"/>
    <col min="69" max="69" width="38.85546875" bestFit="1" customWidth="1"/>
    <col min="70" max="70" width="10.42578125" bestFit="1" customWidth="1"/>
    <col min="71" max="71" width="16.140625" bestFit="1" customWidth="1"/>
    <col min="72" max="72" width="21.85546875" bestFit="1" customWidth="1"/>
    <col min="73" max="73" width="14.42578125" bestFit="1" customWidth="1"/>
    <col min="75" max="75" width="13.5703125" customWidth="1"/>
    <col min="76" max="76" width="55.42578125" bestFit="1" customWidth="1"/>
    <col min="77" max="77" width="9.28515625" bestFit="1" customWidth="1"/>
    <col min="78" max="78" width="15.28515625" bestFit="1" customWidth="1"/>
    <col min="79" max="79" width="16.5703125" bestFit="1" customWidth="1"/>
    <col min="80" max="80" width="16.7109375" style="258" bestFit="1" customWidth="1"/>
    <col min="82" max="82" width="12.85546875" bestFit="1" customWidth="1"/>
    <col min="83" max="83" width="25.7109375" bestFit="1" customWidth="1"/>
    <col min="84" max="84" width="10.42578125" bestFit="1" customWidth="1"/>
    <col min="85" max="85" width="16.28515625" bestFit="1" customWidth="1"/>
    <col min="86" max="86" width="12" bestFit="1" customWidth="1"/>
    <col min="90" max="90" width="9.28515625" bestFit="1" customWidth="1"/>
    <col min="94" max="94" width="9.28515625" bestFit="1" customWidth="1"/>
  </cols>
  <sheetData>
    <row r="1" spans="1:87" ht="15.75" thickBot="1" x14ac:dyDescent="0.3">
      <c r="A1" s="624"/>
      <c r="B1" s="624"/>
      <c r="C1" s="624"/>
      <c r="D1" s="624"/>
      <c r="E1" s="624"/>
      <c r="F1" s="624"/>
      <c r="G1" s="624"/>
      <c r="H1" s="624"/>
      <c r="I1" s="624"/>
      <c r="J1" s="624"/>
      <c r="K1" s="624"/>
      <c r="L1" s="624"/>
      <c r="M1" s="624"/>
      <c r="N1" s="624"/>
      <c r="O1" s="624"/>
      <c r="P1" s="624"/>
      <c r="Q1" s="624"/>
      <c r="R1" s="624"/>
      <c r="S1" s="624"/>
      <c r="T1" s="624"/>
      <c r="U1" s="624"/>
      <c r="V1" s="624"/>
      <c r="W1" s="624"/>
      <c r="X1" s="624"/>
      <c r="Y1" s="624"/>
      <c r="Z1" s="624"/>
      <c r="AA1" s="624"/>
      <c r="AB1" s="624"/>
      <c r="AC1" s="624"/>
      <c r="AD1" s="624"/>
      <c r="AE1" s="624"/>
      <c r="AF1" s="624"/>
      <c r="AG1" s="624"/>
      <c r="AH1" s="624"/>
      <c r="AI1" s="624"/>
      <c r="AJ1" s="624"/>
      <c r="AK1" s="624"/>
      <c r="AL1" s="624"/>
      <c r="AM1" s="624"/>
      <c r="AN1" s="624"/>
      <c r="AO1" s="624"/>
      <c r="AP1" s="624"/>
      <c r="AQ1" s="624"/>
      <c r="AR1" s="624"/>
      <c r="AS1" s="624" t="s">
        <v>172</v>
      </c>
      <c r="AT1" s="624"/>
      <c r="AU1" s="624"/>
      <c r="AV1" s="624"/>
      <c r="AW1" s="624"/>
      <c r="AX1" s="624"/>
      <c r="AY1" s="624"/>
      <c r="AZ1" s="624"/>
      <c r="BA1" s="624"/>
      <c r="BB1" s="624"/>
      <c r="BC1" s="624"/>
      <c r="BD1" s="624"/>
      <c r="BE1" s="624"/>
      <c r="BF1" s="624"/>
      <c r="BG1" s="624"/>
      <c r="BH1" s="624"/>
      <c r="BI1" s="624"/>
      <c r="BJ1" s="624"/>
      <c r="BK1" s="624"/>
      <c r="BL1" s="624"/>
      <c r="BM1" s="624"/>
      <c r="BN1" s="624"/>
      <c r="BO1" s="624"/>
      <c r="BP1" s="624"/>
      <c r="BQ1" s="624"/>
      <c r="BR1" s="624"/>
      <c r="BS1" s="624"/>
      <c r="BT1" s="624"/>
      <c r="BU1" s="624"/>
      <c r="BV1" s="624"/>
      <c r="BW1" s="624"/>
      <c r="BX1" s="624"/>
      <c r="BY1" s="624"/>
      <c r="BZ1" s="624"/>
      <c r="CA1" s="624"/>
      <c r="CB1" s="624"/>
      <c r="CC1" s="624"/>
      <c r="CD1" s="624"/>
      <c r="CE1" s="624"/>
      <c r="CF1" s="624"/>
      <c r="CG1" s="624"/>
      <c r="CH1" s="624"/>
      <c r="CI1" s="624"/>
    </row>
    <row r="2" spans="1:87" ht="15.75" thickBot="1" x14ac:dyDescent="0.3">
      <c r="A2" s="625"/>
      <c r="B2" s="626"/>
      <c r="C2" s="626"/>
      <c r="D2" s="626"/>
      <c r="E2" s="626"/>
      <c r="F2" s="626"/>
      <c r="G2" s="626"/>
      <c r="H2" s="627"/>
      <c r="I2" s="628" t="s">
        <v>60</v>
      </c>
      <c r="J2" s="625"/>
      <c r="K2" s="625"/>
      <c r="L2" s="625"/>
      <c r="M2" s="625"/>
      <c r="N2" s="625"/>
      <c r="O2" s="627"/>
      <c r="P2" s="628" t="s">
        <v>61</v>
      </c>
      <c r="Q2" s="625"/>
      <c r="R2" s="625"/>
      <c r="S2" s="625"/>
      <c r="T2" s="625"/>
      <c r="U2" s="627"/>
      <c r="V2" s="628" t="s">
        <v>62</v>
      </c>
      <c r="W2" s="625"/>
      <c r="X2" s="625"/>
      <c r="Y2" s="625"/>
      <c r="Z2" s="625"/>
      <c r="AA2" s="627"/>
      <c r="AB2" s="628" t="s">
        <v>63</v>
      </c>
      <c r="AC2" s="625"/>
      <c r="AD2" s="625"/>
      <c r="AE2" s="625"/>
      <c r="AF2" s="625"/>
      <c r="AG2" s="627"/>
      <c r="AH2" s="628" t="s">
        <v>64</v>
      </c>
      <c r="AI2" s="625"/>
      <c r="AJ2" s="625"/>
      <c r="AK2" s="625"/>
      <c r="AL2" s="625"/>
      <c r="AM2" s="627"/>
      <c r="AN2" s="628" t="s">
        <v>65</v>
      </c>
      <c r="AO2" s="625"/>
      <c r="AP2" s="625"/>
      <c r="AQ2" s="625"/>
      <c r="AR2" s="625"/>
      <c r="AS2" s="627"/>
      <c r="AT2" s="628" t="s">
        <v>66</v>
      </c>
      <c r="AU2" s="625"/>
      <c r="AV2" s="625"/>
      <c r="AW2" s="625"/>
      <c r="AX2" s="625"/>
      <c r="AY2" s="627"/>
      <c r="AZ2" s="628" t="s">
        <v>67</v>
      </c>
      <c r="BA2" s="625"/>
      <c r="BB2" s="625"/>
      <c r="BC2" s="625"/>
      <c r="BD2" s="625"/>
      <c r="BE2" s="627"/>
      <c r="BF2" s="628" t="s">
        <v>68</v>
      </c>
      <c r="BG2" s="625"/>
      <c r="BH2" s="625"/>
      <c r="BI2" s="625"/>
      <c r="BJ2" s="625"/>
      <c r="BK2" s="625"/>
      <c r="BL2" s="627"/>
      <c r="BM2" s="628" t="s">
        <v>69</v>
      </c>
      <c r="BN2" s="625"/>
      <c r="BO2" s="625"/>
      <c r="BP2" s="625"/>
      <c r="BQ2" s="625"/>
      <c r="BR2" s="625"/>
      <c r="BS2" s="627"/>
      <c r="BT2" s="628" t="s">
        <v>70</v>
      </c>
      <c r="BU2" s="625"/>
      <c r="BV2" s="625"/>
      <c r="BW2" s="625"/>
      <c r="BX2" s="625"/>
      <c r="BY2" s="625"/>
      <c r="BZ2" s="627"/>
      <c r="CA2" s="628" t="s">
        <v>71</v>
      </c>
      <c r="CB2" s="625"/>
      <c r="CC2" s="625"/>
      <c r="CD2" s="625"/>
      <c r="CE2" s="625"/>
      <c r="CF2" s="625"/>
      <c r="CG2" s="627"/>
    </row>
    <row r="3" spans="1:87" ht="15.75" thickBot="1" x14ac:dyDescent="0.3">
      <c r="A3" s="285"/>
      <c r="B3" s="284"/>
      <c r="C3" s="284"/>
      <c r="D3" s="284"/>
      <c r="E3" s="284"/>
      <c r="F3" s="284"/>
      <c r="G3" s="284"/>
      <c r="H3" s="287"/>
      <c r="I3" s="628" t="s">
        <v>60</v>
      </c>
      <c r="J3" s="625"/>
      <c r="K3" s="625"/>
      <c r="L3" s="625"/>
      <c r="M3" s="625"/>
      <c r="N3" s="625"/>
      <c r="O3" s="627"/>
      <c r="P3" s="628" t="s">
        <v>61</v>
      </c>
      <c r="Q3" s="625"/>
      <c r="R3" s="625"/>
      <c r="S3" s="625"/>
      <c r="T3" s="625"/>
      <c r="U3" s="627"/>
      <c r="V3" s="628" t="s">
        <v>62</v>
      </c>
      <c r="W3" s="625"/>
      <c r="X3" s="625"/>
      <c r="Y3" s="625"/>
      <c r="Z3" s="625"/>
      <c r="AA3" s="627"/>
      <c r="AB3" s="628" t="s">
        <v>63</v>
      </c>
      <c r="AC3" s="625"/>
      <c r="AD3" s="625"/>
      <c r="AE3" s="625"/>
      <c r="AF3" s="625"/>
      <c r="AG3" s="627"/>
      <c r="AH3" s="628" t="s">
        <v>64</v>
      </c>
      <c r="AI3" s="625"/>
      <c r="AJ3" s="625"/>
      <c r="AK3" s="625"/>
      <c r="AL3" s="625"/>
      <c r="AM3" s="627"/>
      <c r="AN3" s="285"/>
      <c r="AO3" s="286"/>
      <c r="AP3" s="286"/>
      <c r="AQ3" s="285" t="s">
        <v>65</v>
      </c>
      <c r="AR3" s="285"/>
      <c r="AS3" s="287"/>
      <c r="AT3" s="628" t="s">
        <v>66</v>
      </c>
      <c r="AU3" s="625"/>
      <c r="AV3" s="625"/>
      <c r="AW3" s="625"/>
      <c r="AX3" s="625"/>
      <c r="AY3" s="627"/>
      <c r="AZ3" s="628" t="s">
        <v>67</v>
      </c>
      <c r="BA3" s="625"/>
      <c r="BB3" s="625"/>
      <c r="BC3" s="625"/>
      <c r="BD3" s="625"/>
      <c r="BE3" s="627"/>
      <c r="BF3" s="628" t="s">
        <v>68</v>
      </c>
      <c r="BG3" s="625"/>
      <c r="BH3" s="625"/>
      <c r="BI3" s="625"/>
      <c r="BJ3" s="625"/>
      <c r="BK3" s="625"/>
      <c r="BL3" s="627"/>
      <c r="BM3" s="628" t="s">
        <v>69</v>
      </c>
      <c r="BN3" s="625"/>
      <c r="BO3" s="625"/>
      <c r="BP3" s="625"/>
      <c r="BQ3" s="625"/>
      <c r="BR3" s="625"/>
      <c r="BS3" s="627"/>
      <c r="BT3" s="628" t="s">
        <v>70</v>
      </c>
      <c r="BU3" s="625"/>
      <c r="BV3" s="625"/>
      <c r="BW3" s="625"/>
      <c r="BX3" s="625"/>
      <c r="BY3" s="625"/>
      <c r="BZ3" s="627"/>
      <c r="CA3" s="629" t="s">
        <v>71</v>
      </c>
      <c r="CB3" s="615"/>
      <c r="CC3" s="615"/>
      <c r="CD3" s="615"/>
      <c r="CE3" s="615"/>
      <c r="CF3" s="615"/>
      <c r="CG3" s="615"/>
    </row>
    <row r="4" spans="1:87" ht="45.75" thickBot="1" x14ac:dyDescent="0.3">
      <c r="A4" s="445" t="s">
        <v>173</v>
      </c>
      <c r="B4" s="288" t="s">
        <v>1</v>
      </c>
      <c r="C4" s="288" t="s">
        <v>87</v>
      </c>
      <c r="D4" s="288" t="s">
        <v>174</v>
      </c>
      <c r="E4" s="289" t="s">
        <v>89</v>
      </c>
      <c r="F4" s="289" t="s">
        <v>175</v>
      </c>
      <c r="G4" s="289" t="s">
        <v>176</v>
      </c>
      <c r="H4" s="290" t="s">
        <v>177</v>
      </c>
      <c r="I4" s="38" t="s">
        <v>15</v>
      </c>
      <c r="J4" s="39" t="s">
        <v>92</v>
      </c>
      <c r="K4" s="39" t="s">
        <v>99</v>
      </c>
      <c r="L4" s="39" t="s">
        <v>7</v>
      </c>
      <c r="M4" s="291" t="s">
        <v>178</v>
      </c>
      <c r="N4" s="292" t="s">
        <v>94</v>
      </c>
      <c r="O4" s="43" t="s">
        <v>95</v>
      </c>
      <c r="P4" s="38" t="s">
        <v>15</v>
      </c>
      <c r="Q4" s="39" t="s">
        <v>92</v>
      </c>
      <c r="R4" s="39" t="s">
        <v>7</v>
      </c>
      <c r="S4" s="291" t="s">
        <v>178</v>
      </c>
      <c r="T4" s="293" t="s">
        <v>179</v>
      </c>
      <c r="U4" s="34" t="s">
        <v>95</v>
      </c>
      <c r="V4" s="38" t="s">
        <v>15</v>
      </c>
      <c r="W4" s="39" t="s">
        <v>92</v>
      </c>
      <c r="X4" s="39" t="s">
        <v>7</v>
      </c>
      <c r="Y4" s="291" t="s">
        <v>178</v>
      </c>
      <c r="Z4" s="292" t="s">
        <v>94</v>
      </c>
      <c r="AA4" s="43" t="s">
        <v>95</v>
      </c>
      <c r="AB4" s="38" t="s">
        <v>15</v>
      </c>
      <c r="AC4" s="39" t="s">
        <v>92</v>
      </c>
      <c r="AD4" s="39" t="s">
        <v>7</v>
      </c>
      <c r="AE4" s="291" t="s">
        <v>178</v>
      </c>
      <c r="AF4" s="292" t="s">
        <v>94</v>
      </c>
      <c r="AG4" s="43" t="s">
        <v>95</v>
      </c>
      <c r="AH4" s="38" t="s">
        <v>15</v>
      </c>
      <c r="AI4" s="39" t="s">
        <v>92</v>
      </c>
      <c r="AJ4" s="39" t="s">
        <v>7</v>
      </c>
      <c r="AK4" s="291" t="s">
        <v>178</v>
      </c>
      <c r="AL4" s="292" t="s">
        <v>94</v>
      </c>
      <c r="AM4" s="43" t="s">
        <v>95</v>
      </c>
      <c r="AN4" s="38" t="s">
        <v>15</v>
      </c>
      <c r="AO4" s="39" t="s">
        <v>92</v>
      </c>
      <c r="AP4" s="39" t="s">
        <v>7</v>
      </c>
      <c r="AQ4" s="291" t="s">
        <v>178</v>
      </c>
      <c r="AR4" s="292" t="s">
        <v>94</v>
      </c>
      <c r="AS4" s="43" t="s">
        <v>95</v>
      </c>
      <c r="AT4" s="38" t="s">
        <v>15</v>
      </c>
      <c r="AU4" s="39" t="s">
        <v>92</v>
      </c>
      <c r="AV4" s="39" t="s">
        <v>7</v>
      </c>
      <c r="AW4" s="291" t="s">
        <v>178</v>
      </c>
      <c r="AX4" s="292" t="s">
        <v>94</v>
      </c>
      <c r="AY4" s="41" t="s">
        <v>95</v>
      </c>
      <c r="AZ4" s="38" t="s">
        <v>15</v>
      </c>
      <c r="BA4" s="39" t="s">
        <v>92</v>
      </c>
      <c r="BB4" s="39" t="s">
        <v>7</v>
      </c>
      <c r="BC4" s="291" t="s">
        <v>178</v>
      </c>
      <c r="BD4" s="292" t="s">
        <v>94</v>
      </c>
      <c r="BE4" s="43" t="s">
        <v>95</v>
      </c>
      <c r="BF4" s="38" t="s">
        <v>15</v>
      </c>
      <c r="BG4" s="39" t="s">
        <v>92</v>
      </c>
      <c r="BH4" s="39" t="s">
        <v>99</v>
      </c>
      <c r="BI4" s="39" t="s">
        <v>7</v>
      </c>
      <c r="BJ4" s="291" t="s">
        <v>178</v>
      </c>
      <c r="BK4" s="292" t="s">
        <v>94</v>
      </c>
      <c r="BL4" s="41" t="s">
        <v>95</v>
      </c>
      <c r="BM4" s="38" t="s">
        <v>15</v>
      </c>
      <c r="BN4" s="291" t="s">
        <v>92</v>
      </c>
      <c r="BO4" s="39" t="s">
        <v>99</v>
      </c>
      <c r="BP4" s="39" t="s">
        <v>7</v>
      </c>
      <c r="BQ4" s="291" t="s">
        <v>178</v>
      </c>
      <c r="BR4" s="292" t="s">
        <v>94</v>
      </c>
      <c r="BS4" s="41" t="s">
        <v>95</v>
      </c>
      <c r="BT4" s="38" t="s">
        <v>15</v>
      </c>
      <c r="BU4" s="39" t="s">
        <v>92</v>
      </c>
      <c r="BV4" s="291" t="s">
        <v>99</v>
      </c>
      <c r="BW4" s="39" t="s">
        <v>7</v>
      </c>
      <c r="BX4" s="291" t="s">
        <v>178</v>
      </c>
      <c r="BY4" s="292" t="s">
        <v>94</v>
      </c>
      <c r="BZ4" s="43" t="s">
        <v>95</v>
      </c>
      <c r="CA4" s="38" t="s">
        <v>15</v>
      </c>
      <c r="CB4" s="42" t="s">
        <v>92</v>
      </c>
      <c r="CC4" s="39" t="s">
        <v>99</v>
      </c>
      <c r="CD4" s="291" t="s">
        <v>7</v>
      </c>
      <c r="CE4" s="291" t="s">
        <v>178</v>
      </c>
      <c r="CF4" s="292" t="s">
        <v>94</v>
      </c>
      <c r="CG4" s="43" t="s">
        <v>95</v>
      </c>
    </row>
    <row r="5" spans="1:87" ht="15.75" thickBot="1" x14ac:dyDescent="0.3">
      <c r="A5" s="621" t="s">
        <v>180</v>
      </c>
      <c r="B5" s="621"/>
      <c r="C5" s="621"/>
      <c r="D5" s="621"/>
      <c r="E5" s="621"/>
      <c r="F5" s="621"/>
      <c r="G5" s="621"/>
      <c r="H5" s="621"/>
      <c r="I5" s="621"/>
      <c r="J5" s="621"/>
      <c r="K5" s="621"/>
      <c r="L5" s="621"/>
      <c r="M5" s="621"/>
      <c r="N5" s="621"/>
      <c r="O5" s="621"/>
      <c r="P5" s="621"/>
      <c r="Q5" s="621"/>
      <c r="R5" s="621"/>
      <c r="S5" s="621"/>
      <c r="T5" s="621"/>
      <c r="U5" s="621"/>
      <c r="V5" s="621"/>
      <c r="W5" s="621"/>
      <c r="X5" s="621"/>
      <c r="Y5" s="621"/>
      <c r="Z5" s="621"/>
      <c r="AA5" s="621"/>
      <c r="AB5" s="621"/>
      <c r="AC5" s="621"/>
      <c r="AD5" s="621"/>
      <c r="AE5" s="621"/>
      <c r="AF5" s="621"/>
      <c r="AG5" s="621"/>
      <c r="AH5" s="621"/>
      <c r="AI5" s="621"/>
      <c r="AJ5" s="621"/>
      <c r="AK5" s="621"/>
      <c r="AL5" s="621"/>
      <c r="AM5" s="621"/>
      <c r="AN5" s="621"/>
      <c r="AO5" s="621"/>
      <c r="AP5" s="621"/>
      <c r="AQ5" s="621"/>
      <c r="AR5" s="621"/>
      <c r="AS5" s="621"/>
      <c r="AT5" s="621"/>
      <c r="AU5" s="621"/>
      <c r="AV5" s="621"/>
      <c r="AW5" s="621"/>
      <c r="AX5" s="621"/>
      <c r="AY5" s="621"/>
      <c r="AZ5" s="621"/>
      <c r="BA5" s="621"/>
      <c r="BB5" s="621"/>
      <c r="BC5" s="621"/>
      <c r="BD5" s="621"/>
      <c r="BE5" s="621"/>
      <c r="BF5" s="621"/>
      <c r="BG5" s="621"/>
      <c r="BH5" s="621"/>
      <c r="BI5" s="621"/>
      <c r="BJ5" s="621"/>
      <c r="BK5" s="621"/>
      <c r="BL5" s="621"/>
      <c r="BM5" s="621"/>
      <c r="BN5" s="621"/>
      <c r="BO5" s="621"/>
      <c r="BP5" s="621"/>
      <c r="BQ5" s="621"/>
      <c r="BR5" s="621"/>
      <c r="BS5" s="621"/>
      <c r="BT5" s="621"/>
      <c r="BU5" s="621"/>
      <c r="BV5" s="621"/>
      <c r="BW5" s="621"/>
      <c r="BX5" s="621"/>
      <c r="BY5" s="621"/>
      <c r="BZ5" s="621"/>
      <c r="CA5" s="621"/>
      <c r="CB5" s="621"/>
      <c r="CC5" s="621"/>
      <c r="CD5" s="621"/>
      <c r="CE5" s="621"/>
      <c r="CF5" s="621"/>
      <c r="CG5" s="622"/>
    </row>
    <row r="6" spans="1:87" x14ac:dyDescent="0.25">
      <c r="A6" s="446" t="s">
        <v>181</v>
      </c>
      <c r="B6" s="294" t="s">
        <v>72</v>
      </c>
      <c r="C6" s="294" t="s">
        <v>107</v>
      </c>
      <c r="D6" s="294" t="s">
        <v>182</v>
      </c>
      <c r="E6" s="295" t="s">
        <v>119</v>
      </c>
      <c r="F6" s="295" t="s">
        <v>183</v>
      </c>
      <c r="G6" s="294" t="s">
        <v>114</v>
      </c>
      <c r="H6" s="277" t="s">
        <v>184</v>
      </c>
      <c r="I6" s="296" t="s">
        <v>85</v>
      </c>
      <c r="J6" s="296"/>
      <c r="K6" s="296"/>
      <c r="L6" s="296" t="s">
        <v>484</v>
      </c>
      <c r="M6" s="296" t="s">
        <v>485</v>
      </c>
      <c r="N6" s="311">
        <v>45681</v>
      </c>
      <c r="O6" s="320">
        <v>45686</v>
      </c>
      <c r="P6" s="297"/>
      <c r="Q6" s="296"/>
      <c r="R6" s="296"/>
      <c r="S6" s="296"/>
      <c r="T6" s="298"/>
      <c r="U6" s="299"/>
      <c r="V6" s="300"/>
      <c r="W6" s="72"/>
      <c r="X6" s="103"/>
      <c r="Y6" s="103"/>
      <c r="Z6" s="298"/>
      <c r="AA6" s="299"/>
      <c r="AB6" s="300"/>
      <c r="AC6" s="72"/>
      <c r="AD6" s="103"/>
      <c r="AE6" s="103"/>
      <c r="AF6" s="298"/>
      <c r="AG6" s="299"/>
      <c r="AH6" s="243"/>
      <c r="AI6" s="72"/>
      <c r="AJ6" s="137"/>
      <c r="AK6" s="103"/>
      <c r="AL6" s="298"/>
      <c r="AM6" s="299"/>
      <c r="AN6" s="300"/>
      <c r="AO6" s="298"/>
      <c r="AP6" s="301"/>
      <c r="AQ6" s="300"/>
      <c r="AR6" s="298"/>
      <c r="AS6" s="299"/>
      <c r="AT6" s="300"/>
      <c r="AU6" s="302"/>
      <c r="AV6" s="103"/>
      <c r="AW6" s="103"/>
      <c r="AX6" s="80"/>
      <c r="AY6" s="303"/>
      <c r="AZ6" s="304"/>
      <c r="BA6" s="305"/>
      <c r="BB6" s="305"/>
      <c r="BC6" s="305"/>
      <c r="BD6" s="306"/>
      <c r="BE6" s="307"/>
      <c r="BF6" s="300"/>
      <c r="BG6" s="103"/>
      <c r="BH6" s="103"/>
      <c r="BI6" s="103"/>
      <c r="BJ6" s="103"/>
      <c r="BK6" s="80"/>
      <c r="BL6" s="299"/>
      <c r="BM6" s="300"/>
      <c r="BN6" s="103"/>
      <c r="BO6" s="103"/>
      <c r="BP6" s="103"/>
      <c r="BQ6" s="103"/>
      <c r="BR6" s="298"/>
      <c r="BS6" s="299"/>
      <c r="BT6" s="300"/>
      <c r="BU6" s="103"/>
      <c r="BV6" s="103"/>
      <c r="BW6" s="103"/>
      <c r="BX6" s="103"/>
      <c r="BY6" s="103"/>
      <c r="BZ6" s="447"/>
      <c r="CA6" s="300"/>
      <c r="CB6" s="103"/>
      <c r="CC6" s="103"/>
      <c r="CD6" s="103"/>
      <c r="CE6" s="103"/>
      <c r="CF6" s="103"/>
      <c r="CG6" s="103"/>
    </row>
    <row r="7" spans="1:87" x14ac:dyDescent="0.25">
      <c r="A7" s="294" t="s">
        <v>181</v>
      </c>
      <c r="B7" s="294" t="s">
        <v>185</v>
      </c>
      <c r="C7" s="294" t="s">
        <v>107</v>
      </c>
      <c r="D7" s="295" t="s">
        <v>182</v>
      </c>
      <c r="E7" s="295" t="s">
        <v>119</v>
      </c>
      <c r="F7" s="295" t="s">
        <v>183</v>
      </c>
      <c r="G7" s="295" t="s">
        <v>105</v>
      </c>
      <c r="H7" s="277" t="s">
        <v>184</v>
      </c>
      <c r="I7" s="308"/>
      <c r="J7" s="309"/>
      <c r="K7" s="310"/>
      <c r="L7" s="308"/>
      <c r="M7" s="308"/>
      <c r="N7" s="311"/>
      <c r="O7" s="312"/>
      <c r="P7" s="308"/>
      <c r="Q7" s="309"/>
      <c r="R7" s="313"/>
      <c r="S7" s="313"/>
      <c r="T7" s="314"/>
      <c r="U7" s="315"/>
      <c r="V7" s="300"/>
      <c r="W7" s="72"/>
      <c r="X7" s="90"/>
      <c r="Y7" s="90"/>
      <c r="Z7" s="95"/>
      <c r="AA7" s="316"/>
      <c r="AB7" s="108"/>
      <c r="AC7" s="72"/>
      <c r="AD7" s="90"/>
      <c r="AE7" s="90"/>
      <c r="AF7" s="95"/>
      <c r="AG7" s="94"/>
      <c r="AH7" s="108"/>
      <c r="AI7" s="72"/>
      <c r="AJ7" s="90"/>
      <c r="AK7" s="90"/>
      <c r="AL7" s="95"/>
      <c r="AM7" s="94"/>
      <c r="AN7" s="108"/>
      <c r="AO7" s="214"/>
      <c r="AP7" s="317"/>
      <c r="AQ7" s="108"/>
      <c r="AR7" s="95"/>
      <c r="AS7" s="94"/>
      <c r="AT7" s="108"/>
      <c r="AU7" s="72"/>
      <c r="AV7" s="90"/>
      <c r="AW7" s="90"/>
      <c r="AX7" s="95"/>
      <c r="AY7" s="94"/>
      <c r="AZ7" s="108"/>
      <c r="BA7" s="318"/>
      <c r="BB7" s="90"/>
      <c r="BC7" s="90"/>
      <c r="BD7" s="95"/>
      <c r="BE7" s="94"/>
      <c r="BF7" s="108"/>
      <c r="BG7" s="72"/>
      <c r="BH7" s="96"/>
      <c r="BI7" s="90"/>
      <c r="BJ7" s="90"/>
      <c r="BK7" s="95"/>
      <c r="BL7" s="94"/>
      <c r="BM7" s="108"/>
      <c r="BN7" s="72"/>
      <c r="BO7" s="96"/>
      <c r="BP7" s="90"/>
      <c r="BQ7" s="90"/>
      <c r="BR7" s="95"/>
      <c r="BS7" s="94"/>
      <c r="BT7" s="108"/>
      <c r="BU7" s="72"/>
      <c r="BV7" s="96"/>
      <c r="BW7" s="90"/>
      <c r="BX7" s="319"/>
      <c r="BY7" s="128"/>
      <c r="BZ7" s="317"/>
      <c r="CA7" s="243"/>
      <c r="CB7" s="72"/>
      <c r="CC7" s="90"/>
      <c r="CD7" s="90"/>
      <c r="CE7" s="319"/>
      <c r="CF7" s="186"/>
      <c r="CG7" s="186"/>
    </row>
    <row r="8" spans="1:87" x14ac:dyDescent="0.25">
      <c r="A8" s="295" t="s">
        <v>186</v>
      </c>
      <c r="B8" s="295" t="s">
        <v>187</v>
      </c>
      <c r="C8" s="295" t="s">
        <v>107</v>
      </c>
      <c r="D8" s="295" t="s">
        <v>182</v>
      </c>
      <c r="E8" s="295" t="s">
        <v>188</v>
      </c>
      <c r="F8" s="295" t="s">
        <v>183</v>
      </c>
      <c r="G8" s="295" t="s">
        <v>105</v>
      </c>
      <c r="H8" s="277" t="s">
        <v>184</v>
      </c>
      <c r="I8" s="308">
        <v>12828811</v>
      </c>
      <c r="J8" s="309">
        <v>139177.53</v>
      </c>
      <c r="K8" s="310" t="s">
        <v>488</v>
      </c>
      <c r="L8" s="308">
        <v>4500751783</v>
      </c>
      <c r="M8" s="308">
        <v>1000225196</v>
      </c>
      <c r="N8" s="311">
        <v>45674</v>
      </c>
      <c r="O8" s="320">
        <v>45674</v>
      </c>
      <c r="P8" s="108">
        <v>12830851</v>
      </c>
      <c r="Q8" s="72">
        <v>139177.53</v>
      </c>
      <c r="R8" s="90"/>
      <c r="S8" s="90"/>
      <c r="T8" s="95"/>
      <c r="U8" s="94"/>
      <c r="V8" s="108"/>
      <c r="W8" s="72"/>
      <c r="X8" s="90"/>
      <c r="Y8" s="90"/>
      <c r="Z8" s="95"/>
      <c r="AA8" s="321"/>
      <c r="AB8" s="108"/>
      <c r="AC8" s="72"/>
      <c r="AD8" s="90"/>
      <c r="AE8" s="90"/>
      <c r="AF8" s="95"/>
      <c r="AG8" s="94"/>
      <c r="AH8" s="108"/>
      <c r="AI8" s="72"/>
      <c r="AJ8" s="90"/>
      <c r="AK8" s="90"/>
      <c r="AL8" s="95"/>
      <c r="AM8" s="316"/>
      <c r="AN8" s="108"/>
      <c r="AO8" s="214"/>
      <c r="AP8" s="317"/>
      <c r="AQ8" s="108"/>
      <c r="AR8" s="95"/>
      <c r="AS8" s="94"/>
      <c r="AT8" s="108"/>
      <c r="AU8" s="72"/>
      <c r="AV8" s="90"/>
      <c r="AW8" s="90"/>
      <c r="AX8" s="95"/>
      <c r="AY8" s="94"/>
      <c r="AZ8" s="108"/>
      <c r="BA8" s="322"/>
      <c r="BB8" s="90"/>
      <c r="BC8" s="90"/>
      <c r="BD8" s="95"/>
      <c r="BE8" s="94"/>
      <c r="BF8" s="108"/>
      <c r="BG8" s="72"/>
      <c r="BH8" s="96"/>
      <c r="BI8" s="90"/>
      <c r="BJ8" s="90"/>
      <c r="BK8" s="95"/>
      <c r="BL8" s="94"/>
      <c r="BM8" s="108"/>
      <c r="BN8" s="72"/>
      <c r="BO8" s="96"/>
      <c r="BP8" s="90"/>
      <c r="BQ8" s="90"/>
      <c r="BR8" s="95"/>
      <c r="BS8" s="94"/>
      <c r="BT8" s="108"/>
      <c r="BU8" s="72"/>
      <c r="BV8" s="96"/>
      <c r="BW8" s="90"/>
      <c r="BX8" s="319"/>
      <c r="BY8" s="128"/>
      <c r="BZ8" s="317"/>
      <c r="CA8" s="243"/>
      <c r="CB8" s="72"/>
      <c r="CC8" s="90"/>
      <c r="CD8" s="90"/>
      <c r="CE8" s="319"/>
      <c r="CF8" s="186"/>
      <c r="CG8" s="186"/>
    </row>
    <row r="9" spans="1:87" x14ac:dyDescent="0.25">
      <c r="A9" s="295" t="s">
        <v>186</v>
      </c>
      <c r="B9" s="295" t="s">
        <v>187</v>
      </c>
      <c r="C9" s="295" t="s">
        <v>103</v>
      </c>
      <c r="D9" s="295" t="s">
        <v>182</v>
      </c>
      <c r="E9" s="295" t="s">
        <v>189</v>
      </c>
      <c r="F9" s="295" t="s">
        <v>183</v>
      </c>
      <c r="G9" s="295" t="s">
        <v>105</v>
      </c>
      <c r="H9" s="277" t="s">
        <v>190</v>
      </c>
      <c r="I9" s="323">
        <v>12828812</v>
      </c>
      <c r="J9" s="324">
        <v>11775.03</v>
      </c>
      <c r="K9" s="325" t="s">
        <v>488</v>
      </c>
      <c r="L9" s="323">
        <v>4500751730</v>
      </c>
      <c r="M9" s="323">
        <v>1000225197</v>
      </c>
      <c r="N9" s="326">
        <v>45674</v>
      </c>
      <c r="O9" s="320">
        <v>45674</v>
      </c>
      <c r="P9" s="199">
        <v>12830852</v>
      </c>
      <c r="Q9" s="172">
        <v>11809.67</v>
      </c>
      <c r="R9" s="173"/>
      <c r="S9" s="173"/>
      <c r="T9" s="97"/>
      <c r="U9" s="94"/>
      <c r="V9" s="199"/>
      <c r="W9" s="172"/>
      <c r="X9" s="173"/>
      <c r="Y9" s="173"/>
      <c r="Z9" s="97"/>
      <c r="AA9" s="316"/>
      <c r="AB9" s="199"/>
      <c r="AC9" s="172"/>
      <c r="AD9" s="173"/>
      <c r="AE9" s="173"/>
      <c r="AF9" s="97"/>
      <c r="AG9" s="94"/>
      <c r="AH9" s="199"/>
      <c r="AI9" s="172"/>
      <c r="AJ9" s="173"/>
      <c r="AK9" s="173"/>
      <c r="AL9" s="97"/>
      <c r="AM9" s="316"/>
      <c r="AN9" s="108"/>
      <c r="AO9" s="214"/>
      <c r="AP9" s="317"/>
      <c r="AQ9" s="108"/>
      <c r="AR9" s="95"/>
      <c r="AS9" s="94"/>
      <c r="AT9" s="108"/>
      <c r="AU9" s="72"/>
      <c r="AV9" s="90"/>
      <c r="AW9" s="90"/>
      <c r="AX9" s="95"/>
      <c r="AY9" s="94"/>
      <c r="AZ9" s="199"/>
      <c r="BA9" s="327"/>
      <c r="BB9" s="173"/>
      <c r="BC9" s="173"/>
      <c r="BD9" s="97"/>
      <c r="BE9" s="94"/>
      <c r="BF9" s="199"/>
      <c r="BG9" s="172"/>
      <c r="BH9" s="181"/>
      <c r="BI9" s="173"/>
      <c r="BJ9" s="173"/>
      <c r="BK9" s="97"/>
      <c r="BL9" s="94"/>
      <c r="BM9" s="199"/>
      <c r="BN9" s="172"/>
      <c r="BO9" s="181"/>
      <c r="BP9" s="173"/>
      <c r="BQ9" s="173"/>
      <c r="BR9" s="97"/>
      <c r="BS9" s="94"/>
      <c r="BT9" s="108"/>
      <c r="BU9" s="72"/>
      <c r="BV9" s="96"/>
      <c r="BW9" s="90"/>
      <c r="BX9" s="319"/>
      <c r="BY9" s="128"/>
      <c r="BZ9" s="317"/>
      <c r="CA9" s="243"/>
      <c r="CB9" s="72"/>
      <c r="CC9" s="90"/>
      <c r="CD9" s="90"/>
      <c r="CE9" s="137"/>
      <c r="CF9" s="186"/>
      <c r="CG9" s="186"/>
    </row>
    <row r="10" spans="1:87" x14ac:dyDescent="0.25">
      <c r="A10" s="197" t="s">
        <v>191</v>
      </c>
      <c r="B10" s="294" t="s">
        <v>187</v>
      </c>
      <c r="C10" s="294" t="s">
        <v>107</v>
      </c>
      <c r="D10" s="295" t="s">
        <v>182</v>
      </c>
      <c r="E10" s="295" t="s">
        <v>192</v>
      </c>
      <c r="F10" s="295" t="s">
        <v>192</v>
      </c>
      <c r="G10" s="295" t="s">
        <v>105</v>
      </c>
      <c r="H10" s="277" t="s">
        <v>193</v>
      </c>
      <c r="I10" s="633"/>
      <c r="J10" s="633"/>
      <c r="K10" s="633"/>
      <c r="L10" s="633"/>
      <c r="M10" s="633"/>
      <c r="N10" s="633"/>
      <c r="O10" s="634"/>
      <c r="P10" s="620"/>
      <c r="Q10" s="630"/>
      <c r="R10" s="630"/>
      <c r="S10" s="630"/>
      <c r="T10" s="630"/>
      <c r="U10" s="631"/>
      <c r="V10" s="620"/>
      <c r="W10" s="630"/>
      <c r="X10" s="630"/>
      <c r="Y10" s="630"/>
      <c r="Z10" s="630"/>
      <c r="AA10" s="631"/>
      <c r="AB10" s="620"/>
      <c r="AC10" s="630"/>
      <c r="AD10" s="630"/>
      <c r="AE10" s="630"/>
      <c r="AF10" s="630"/>
      <c r="AG10" s="631"/>
      <c r="AH10" s="620"/>
      <c r="AI10" s="630"/>
      <c r="AJ10" s="630"/>
      <c r="AK10" s="630"/>
      <c r="AL10" s="630"/>
      <c r="AM10" s="632"/>
      <c r="AN10" s="618"/>
      <c r="AO10" s="619"/>
      <c r="AP10" s="619"/>
      <c r="AQ10" s="619"/>
      <c r="AR10" s="619"/>
      <c r="AS10" s="623"/>
      <c r="AT10" s="618"/>
      <c r="AU10" s="619"/>
      <c r="AV10" s="619"/>
      <c r="AW10" s="619"/>
      <c r="AX10" s="619"/>
      <c r="AY10" s="623"/>
      <c r="AZ10" s="620"/>
      <c r="BA10" s="630"/>
      <c r="BB10" s="630"/>
      <c r="BC10" s="630"/>
      <c r="BD10" s="630"/>
      <c r="BE10" s="631"/>
      <c r="BF10" s="620"/>
      <c r="BG10" s="630"/>
      <c r="BH10" s="630"/>
      <c r="BI10" s="630"/>
      <c r="BJ10" s="630"/>
      <c r="BK10" s="630"/>
      <c r="BL10" s="631"/>
      <c r="BM10" s="620"/>
      <c r="BN10" s="630"/>
      <c r="BO10" s="630"/>
      <c r="BP10" s="630"/>
      <c r="BQ10" s="630"/>
      <c r="BR10" s="630"/>
      <c r="BS10" s="632"/>
      <c r="BT10" s="618"/>
      <c r="BU10" s="619"/>
      <c r="BV10" s="619"/>
      <c r="BW10" s="619"/>
      <c r="BX10" s="619"/>
      <c r="BY10" s="619"/>
      <c r="BZ10" s="620"/>
      <c r="CA10" s="618"/>
      <c r="CB10" s="619"/>
      <c r="CC10" s="619"/>
      <c r="CD10" s="619"/>
      <c r="CE10" s="619"/>
      <c r="CF10" s="619"/>
      <c r="CG10" s="620"/>
    </row>
    <row r="11" spans="1:87" x14ac:dyDescent="0.25">
      <c r="A11" s="295" t="s">
        <v>194</v>
      </c>
      <c r="B11" s="295" t="s">
        <v>195</v>
      </c>
      <c r="C11" s="197" t="s">
        <v>107</v>
      </c>
      <c r="D11" s="295" t="s">
        <v>182</v>
      </c>
      <c r="E11" s="295" t="s">
        <v>188</v>
      </c>
      <c r="F11" s="295" t="s">
        <v>116</v>
      </c>
      <c r="G11" s="295" t="s">
        <v>105</v>
      </c>
      <c r="H11" s="277" t="s">
        <v>184</v>
      </c>
      <c r="I11" s="90">
        <v>12828379</v>
      </c>
      <c r="J11" s="72">
        <v>7984.34</v>
      </c>
      <c r="K11" s="96" t="s">
        <v>488</v>
      </c>
      <c r="L11" s="90">
        <v>4500751314</v>
      </c>
      <c r="M11" s="90">
        <v>1000224880</v>
      </c>
      <c r="N11" s="95">
        <v>45667</v>
      </c>
      <c r="O11" s="320">
        <v>45670</v>
      </c>
      <c r="P11" s="90">
        <v>12828379</v>
      </c>
      <c r="Q11" s="72">
        <v>7984.34</v>
      </c>
      <c r="R11" s="90">
        <v>4500751314</v>
      </c>
      <c r="S11" s="236">
        <v>1000225832</v>
      </c>
      <c r="T11" s="95"/>
      <c r="U11" s="94"/>
      <c r="V11" s="108"/>
      <c r="W11" s="72"/>
      <c r="X11" s="90"/>
      <c r="Y11" s="90"/>
      <c r="Z11" s="95"/>
      <c r="AA11" s="316"/>
      <c r="AB11" s="108"/>
      <c r="AC11" s="72"/>
      <c r="AD11" s="90"/>
      <c r="AE11" s="334"/>
      <c r="AF11" s="95"/>
      <c r="AG11" s="94"/>
      <c r="AH11" s="108"/>
      <c r="AI11" s="72"/>
      <c r="AJ11" s="90"/>
      <c r="AK11" s="90"/>
      <c r="AL11" s="95"/>
      <c r="AM11" s="94"/>
      <c r="AN11" s="108"/>
      <c r="AO11" s="214"/>
      <c r="AP11" s="317"/>
      <c r="AQ11" s="108"/>
      <c r="AR11" s="95"/>
      <c r="AS11" s="316"/>
      <c r="AT11" s="108"/>
      <c r="AU11" s="72"/>
      <c r="AV11" s="90"/>
      <c r="AW11" s="90"/>
      <c r="AX11" s="95"/>
      <c r="AY11" s="335"/>
      <c r="AZ11" s="108"/>
      <c r="BA11" s="72"/>
      <c r="BB11" s="90"/>
      <c r="BC11" s="90"/>
      <c r="BD11" s="95"/>
      <c r="BE11" s="94"/>
      <c r="BF11" s="108"/>
      <c r="BG11" s="72"/>
      <c r="BH11" s="96"/>
      <c r="BI11" s="90"/>
      <c r="BJ11" s="90"/>
      <c r="BK11" s="95"/>
      <c r="BL11" s="94"/>
      <c r="BM11" s="108"/>
      <c r="BN11" s="72"/>
      <c r="BO11" s="96"/>
      <c r="BP11" s="90"/>
      <c r="BQ11" s="90"/>
      <c r="BR11" s="95"/>
      <c r="BS11" s="94"/>
      <c r="BT11" s="108"/>
      <c r="BU11" s="72"/>
      <c r="BV11" s="96"/>
      <c r="BW11" s="90"/>
      <c r="BX11" s="90"/>
      <c r="BY11" s="128"/>
      <c r="BZ11" s="316"/>
      <c r="CA11" s="108"/>
      <c r="CB11" s="72"/>
      <c r="CC11" s="96"/>
      <c r="CD11" s="90"/>
      <c r="CE11" s="90"/>
      <c r="CF11" s="128"/>
      <c r="CG11" s="186"/>
    </row>
    <row r="12" spans="1:87" x14ac:dyDescent="0.25">
      <c r="A12" s="295" t="s">
        <v>196</v>
      </c>
      <c r="B12" s="295" t="s">
        <v>195</v>
      </c>
      <c r="C12" s="197" t="s">
        <v>107</v>
      </c>
      <c r="D12" s="295" t="s">
        <v>182</v>
      </c>
      <c r="E12" s="295" t="s">
        <v>188</v>
      </c>
      <c r="F12" s="295" t="s">
        <v>116</v>
      </c>
      <c r="G12" s="295" t="s">
        <v>105</v>
      </c>
      <c r="H12" s="277" t="s">
        <v>184</v>
      </c>
      <c r="I12" s="90">
        <v>12828381</v>
      </c>
      <c r="J12" s="72">
        <v>7164.21</v>
      </c>
      <c r="K12" s="96" t="s">
        <v>488</v>
      </c>
      <c r="L12" s="90">
        <v>4500751313</v>
      </c>
      <c r="M12" s="90">
        <v>1000224882</v>
      </c>
      <c r="N12" s="95">
        <v>45667</v>
      </c>
      <c r="O12" s="320">
        <v>45667</v>
      </c>
      <c r="P12" s="90">
        <v>12828381</v>
      </c>
      <c r="Q12" s="72">
        <v>7164.21</v>
      </c>
      <c r="R12" s="90">
        <v>4500751313</v>
      </c>
      <c r="S12" s="236">
        <v>1000225833</v>
      </c>
      <c r="T12" s="95"/>
      <c r="U12" s="94"/>
      <c r="V12" s="108"/>
      <c r="W12" s="72"/>
      <c r="X12" s="90"/>
      <c r="Y12" s="90"/>
      <c r="Z12" s="95"/>
      <c r="AA12" s="316"/>
      <c r="AB12" s="108"/>
      <c r="AC12" s="72"/>
      <c r="AD12" s="90"/>
      <c r="AE12" s="90"/>
      <c r="AF12" s="95"/>
      <c r="AG12" s="94"/>
      <c r="AH12" s="108"/>
      <c r="AI12" s="72"/>
      <c r="AJ12" s="90"/>
      <c r="AK12" s="90"/>
      <c r="AL12" s="95"/>
      <c r="AM12" s="94"/>
      <c r="AN12" s="108"/>
      <c r="AO12" s="214"/>
      <c r="AP12" s="317"/>
      <c r="AQ12" s="108"/>
      <c r="AR12" s="95"/>
      <c r="AS12" s="316"/>
      <c r="AT12" s="108"/>
      <c r="AU12" s="72"/>
      <c r="AV12" s="90"/>
      <c r="AW12" s="90"/>
      <c r="AX12" s="95"/>
      <c r="AY12" s="94"/>
      <c r="AZ12" s="108"/>
      <c r="BA12" s="72"/>
      <c r="BB12" s="90"/>
      <c r="BC12" s="90"/>
      <c r="BD12" s="95"/>
      <c r="BE12" s="94"/>
      <c r="BF12" s="108"/>
      <c r="BG12" s="72"/>
      <c r="BH12" s="96"/>
      <c r="BI12" s="90"/>
      <c r="BJ12" s="90"/>
      <c r="BK12" s="95"/>
      <c r="BL12" s="335"/>
      <c r="BM12" s="108"/>
      <c r="BN12" s="72"/>
      <c r="BO12" s="96"/>
      <c r="BP12" s="90"/>
      <c r="BQ12" s="90"/>
      <c r="BR12" s="95"/>
      <c r="BS12" s="335"/>
      <c r="BT12" s="108"/>
      <c r="BU12" s="72"/>
      <c r="BV12" s="96"/>
      <c r="BW12" s="90"/>
      <c r="BX12" s="90"/>
      <c r="BY12" s="128"/>
      <c r="BZ12" s="316"/>
      <c r="CA12" s="108"/>
      <c r="CB12" s="72"/>
      <c r="CC12" s="96"/>
      <c r="CD12" s="90"/>
      <c r="CE12" s="90"/>
      <c r="CF12" s="128"/>
      <c r="CG12" s="186"/>
    </row>
    <row r="13" spans="1:87" x14ac:dyDescent="0.25">
      <c r="A13" s="295" t="s">
        <v>197</v>
      </c>
      <c r="B13" s="295" t="s">
        <v>195</v>
      </c>
      <c r="C13" s="336" t="s">
        <v>103</v>
      </c>
      <c r="D13" s="295" t="s">
        <v>182</v>
      </c>
      <c r="E13" s="295" t="s">
        <v>189</v>
      </c>
      <c r="F13" s="295" t="s">
        <v>116</v>
      </c>
      <c r="G13" s="295" t="s">
        <v>105</v>
      </c>
      <c r="H13" s="277" t="s">
        <v>184</v>
      </c>
      <c r="I13" s="90">
        <v>12828415</v>
      </c>
      <c r="J13" s="72">
        <v>2834.37</v>
      </c>
      <c r="K13" s="96" t="s">
        <v>488</v>
      </c>
      <c r="L13" s="90">
        <v>4500751250</v>
      </c>
      <c r="M13" s="90">
        <v>1000224884</v>
      </c>
      <c r="N13" s="95">
        <v>45667</v>
      </c>
      <c r="O13" s="320">
        <v>45670</v>
      </c>
      <c r="P13" s="90">
        <v>12828415</v>
      </c>
      <c r="Q13" s="72">
        <v>2834.37</v>
      </c>
      <c r="R13" s="90">
        <v>4500751250</v>
      </c>
      <c r="S13" s="236">
        <v>1000225834</v>
      </c>
      <c r="T13" s="95"/>
      <c r="U13" s="94"/>
      <c r="V13" s="108"/>
      <c r="W13" s="72"/>
      <c r="X13" s="90"/>
      <c r="Y13" s="90"/>
      <c r="Z13" s="95"/>
      <c r="AA13" s="316"/>
      <c r="AB13" s="108"/>
      <c r="AC13" s="72"/>
      <c r="AD13" s="90"/>
      <c r="AE13" s="90"/>
      <c r="AF13" s="95"/>
      <c r="AG13" s="94"/>
      <c r="AH13" s="108"/>
      <c r="AI13" s="72"/>
      <c r="AJ13" s="90"/>
      <c r="AK13" s="90"/>
      <c r="AL13" s="95"/>
      <c r="AM13" s="316"/>
      <c r="AN13" s="108"/>
      <c r="AO13" s="214"/>
      <c r="AP13" s="317"/>
      <c r="AQ13" s="108"/>
      <c r="AR13" s="95"/>
      <c r="AS13" s="316"/>
      <c r="AT13" s="108"/>
      <c r="AU13" s="72"/>
      <c r="AV13" s="90"/>
      <c r="AW13" s="90"/>
      <c r="AX13" s="95"/>
      <c r="AY13" s="94"/>
      <c r="AZ13" s="108"/>
      <c r="BA13" s="72"/>
      <c r="BB13" s="90"/>
      <c r="BC13" s="90"/>
      <c r="BD13" s="95"/>
      <c r="BE13" s="94"/>
      <c r="BF13" s="108"/>
      <c r="BG13" s="72"/>
      <c r="BH13" s="96"/>
      <c r="BI13" s="90"/>
      <c r="BJ13" s="90"/>
      <c r="BK13" s="95"/>
      <c r="BL13" s="94"/>
      <c r="BM13" s="108"/>
      <c r="BN13" s="72"/>
      <c r="BO13" s="96"/>
      <c r="BP13" s="90"/>
      <c r="BQ13" s="90"/>
      <c r="BR13" s="95"/>
      <c r="BS13" s="94"/>
      <c r="BT13" s="108"/>
      <c r="BU13" s="72"/>
      <c r="BV13" s="96"/>
      <c r="BW13" s="90"/>
      <c r="BX13" s="90"/>
      <c r="BY13" s="128"/>
      <c r="BZ13" s="316"/>
      <c r="CA13" s="108"/>
      <c r="CB13" s="72"/>
      <c r="CC13" s="96"/>
      <c r="CD13" s="90"/>
      <c r="CE13" s="90"/>
      <c r="CF13" s="128"/>
      <c r="CG13" s="186"/>
    </row>
    <row r="14" spans="1:87" x14ac:dyDescent="0.25">
      <c r="A14" s="295" t="s">
        <v>198</v>
      </c>
      <c r="B14" s="295" t="s">
        <v>195</v>
      </c>
      <c r="C14" s="197" t="s">
        <v>107</v>
      </c>
      <c r="D14" s="295" t="s">
        <v>182</v>
      </c>
      <c r="E14" s="295" t="s">
        <v>188</v>
      </c>
      <c r="F14" s="295" t="s">
        <v>116</v>
      </c>
      <c r="G14" s="295" t="s">
        <v>105</v>
      </c>
      <c r="H14" s="277" t="s">
        <v>184</v>
      </c>
      <c r="I14" s="90">
        <v>12828428</v>
      </c>
      <c r="J14" s="72">
        <v>12965.15</v>
      </c>
      <c r="K14" s="96" t="s">
        <v>488</v>
      </c>
      <c r="L14" s="90">
        <v>4500752704</v>
      </c>
      <c r="M14" s="90">
        <v>1000225781</v>
      </c>
      <c r="N14" s="95">
        <v>45685</v>
      </c>
      <c r="O14" s="320">
        <v>45686</v>
      </c>
      <c r="P14" s="90">
        <v>12828428</v>
      </c>
      <c r="Q14" s="72">
        <v>12965.15</v>
      </c>
      <c r="R14" s="90">
        <v>4500752704</v>
      </c>
      <c r="S14" s="236">
        <v>1000225835</v>
      </c>
      <c r="T14" s="95"/>
      <c r="U14" s="94"/>
      <c r="V14" s="108"/>
      <c r="W14" s="72"/>
      <c r="X14" s="90"/>
      <c r="Y14" s="90"/>
      <c r="Z14" s="95"/>
      <c r="AA14" s="316"/>
      <c r="AB14" s="108"/>
      <c r="AC14" s="72"/>
      <c r="AD14" s="90"/>
      <c r="AE14" s="90"/>
      <c r="AF14" s="95"/>
      <c r="AG14" s="94"/>
      <c r="AH14" s="108"/>
      <c r="AI14" s="72"/>
      <c r="AJ14" s="90"/>
      <c r="AK14" s="90"/>
      <c r="AL14" s="95"/>
      <c r="AM14" s="316"/>
      <c r="AN14" s="108"/>
      <c r="AO14" s="214"/>
      <c r="AP14" s="317"/>
      <c r="AQ14" s="108"/>
      <c r="AR14" s="95"/>
      <c r="AS14" s="316"/>
      <c r="AT14" s="108"/>
      <c r="AU14" s="72"/>
      <c r="AV14" s="90"/>
      <c r="AW14" s="90"/>
      <c r="AX14" s="95"/>
      <c r="AY14" s="94"/>
      <c r="AZ14" s="108"/>
      <c r="BA14" s="72"/>
      <c r="BB14" s="90"/>
      <c r="BC14" s="90"/>
      <c r="BD14" s="95"/>
      <c r="BE14" s="94"/>
      <c r="BF14" s="108"/>
      <c r="BG14" s="72"/>
      <c r="BH14" s="96"/>
      <c r="BI14" s="90"/>
      <c r="BJ14" s="90"/>
      <c r="BK14" s="95"/>
      <c r="BL14" s="94"/>
      <c r="BM14" s="108"/>
      <c r="BN14" s="72"/>
      <c r="BO14" s="96"/>
      <c r="BP14" s="90"/>
      <c r="BQ14" s="90"/>
      <c r="BR14" s="95"/>
      <c r="BS14" s="94"/>
      <c r="BT14" s="108"/>
      <c r="BU14" s="72"/>
      <c r="BV14" s="96"/>
      <c r="BW14" s="90"/>
      <c r="BX14" s="90"/>
      <c r="BY14" s="128"/>
      <c r="BZ14" s="316"/>
      <c r="CA14" s="108"/>
      <c r="CB14" s="72"/>
      <c r="CC14" s="96"/>
      <c r="CD14" s="90"/>
      <c r="CE14" s="90"/>
      <c r="CF14" s="128"/>
      <c r="CG14" s="186"/>
    </row>
    <row r="15" spans="1:87" ht="15.75" thickBot="1" x14ac:dyDescent="0.3">
      <c r="A15" s="336" t="s">
        <v>199</v>
      </c>
      <c r="B15" s="336" t="s">
        <v>195</v>
      </c>
      <c r="C15" s="197" t="s">
        <v>107</v>
      </c>
      <c r="D15" s="336" t="s">
        <v>182</v>
      </c>
      <c r="E15" s="336" t="s">
        <v>188</v>
      </c>
      <c r="F15" s="336" t="s">
        <v>116</v>
      </c>
      <c r="G15" s="336" t="s">
        <v>105</v>
      </c>
      <c r="H15" s="337" t="s">
        <v>184</v>
      </c>
      <c r="I15" s="90">
        <v>12828435</v>
      </c>
      <c r="J15" s="72">
        <v>3306.72</v>
      </c>
      <c r="K15" s="96" t="s">
        <v>488</v>
      </c>
      <c r="L15" s="90">
        <v>4500751311</v>
      </c>
      <c r="M15" s="90">
        <v>1000224885</v>
      </c>
      <c r="N15" s="95">
        <v>45667</v>
      </c>
      <c r="O15" s="320">
        <v>45670</v>
      </c>
      <c r="P15" s="90">
        <v>12828435</v>
      </c>
      <c r="Q15" s="72">
        <v>3306.72</v>
      </c>
      <c r="R15" s="90">
        <v>4500751311</v>
      </c>
      <c r="S15" s="90">
        <v>1000225836</v>
      </c>
      <c r="T15" s="95"/>
      <c r="U15" s="94"/>
      <c r="V15" s="108"/>
      <c r="W15" s="72"/>
      <c r="X15" s="90"/>
      <c r="Y15" s="90"/>
      <c r="Z15" s="95"/>
      <c r="AA15" s="316"/>
      <c r="AB15" s="108"/>
      <c r="AC15" s="72"/>
      <c r="AD15" s="90"/>
      <c r="AE15" s="90"/>
      <c r="AF15" s="95"/>
      <c r="AG15" s="94"/>
      <c r="AH15" s="108"/>
      <c r="AI15" s="72"/>
      <c r="AJ15" s="90"/>
      <c r="AK15" s="90"/>
      <c r="AL15" s="95"/>
      <c r="AM15" s="94"/>
      <c r="AN15" s="108"/>
      <c r="AO15" s="214"/>
      <c r="AP15" s="317"/>
      <c r="AQ15" s="108"/>
      <c r="AR15" s="95"/>
      <c r="AS15" s="316"/>
      <c r="AT15" s="108"/>
      <c r="AU15" s="72"/>
      <c r="AV15" s="90"/>
      <c r="AW15" s="90"/>
      <c r="AX15" s="95"/>
      <c r="AY15" s="94"/>
      <c r="AZ15" s="108"/>
      <c r="BA15" s="72"/>
      <c r="BB15" s="90"/>
      <c r="BC15" s="90"/>
      <c r="BD15" s="95"/>
      <c r="BE15" s="94"/>
      <c r="BF15" s="108"/>
      <c r="BG15" s="72"/>
      <c r="BH15" s="96"/>
      <c r="BI15" s="90"/>
      <c r="BJ15" s="90"/>
      <c r="BK15" s="95"/>
      <c r="BL15" s="94"/>
      <c r="BM15" s="108"/>
      <c r="BN15" s="72"/>
      <c r="BO15" s="96"/>
      <c r="BP15" s="90"/>
      <c r="BQ15" s="90"/>
      <c r="BR15" s="95"/>
      <c r="BS15" s="94"/>
      <c r="BT15" s="108"/>
      <c r="BU15" s="72"/>
      <c r="BV15" s="96"/>
      <c r="BW15" s="90"/>
      <c r="BX15" s="90"/>
      <c r="BY15" s="128"/>
      <c r="BZ15" s="316"/>
      <c r="CA15" s="108"/>
      <c r="CB15" s="72"/>
      <c r="CC15" s="96"/>
      <c r="CD15" s="90"/>
      <c r="CE15" s="90"/>
      <c r="CF15" s="128"/>
      <c r="CG15" s="186"/>
    </row>
    <row r="16" spans="1:87" ht="15.75" thickBot="1" x14ac:dyDescent="0.3">
      <c r="A16" s="338" t="s">
        <v>200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8"/>
      <c r="V16" s="338"/>
      <c r="W16" s="338"/>
      <c r="X16" s="338"/>
      <c r="Y16" s="338"/>
      <c r="Z16" s="338"/>
      <c r="AA16" s="338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  <c r="AL16" s="338"/>
      <c r="AM16" s="338"/>
      <c r="AN16" s="338"/>
      <c r="AO16" s="338"/>
      <c r="AP16" s="338"/>
      <c r="AQ16" s="338"/>
      <c r="AR16" s="338"/>
      <c r="AS16" s="338"/>
      <c r="AT16" s="338"/>
      <c r="AU16" s="338"/>
      <c r="AV16" s="338"/>
      <c r="AW16" s="338"/>
      <c r="AX16" s="338"/>
      <c r="AY16" s="338"/>
      <c r="AZ16" s="338"/>
      <c r="BA16" s="338"/>
      <c r="BB16" s="338"/>
      <c r="BC16" s="338"/>
      <c r="BD16" s="338"/>
      <c r="BE16" s="338"/>
      <c r="BF16" s="338"/>
      <c r="BG16" s="338"/>
      <c r="BH16" s="338"/>
      <c r="BI16" s="338"/>
      <c r="BJ16" s="338"/>
      <c r="BK16" s="338"/>
      <c r="BL16" s="338"/>
      <c r="BM16" s="338"/>
      <c r="BN16" s="338"/>
      <c r="BO16" s="338"/>
      <c r="BP16" s="338"/>
      <c r="BQ16" s="338"/>
      <c r="BR16" s="338"/>
      <c r="BS16" s="338"/>
      <c r="BT16" s="338"/>
      <c r="BU16" s="338"/>
      <c r="BV16" s="338"/>
      <c r="BW16" s="338"/>
      <c r="BX16" s="338"/>
      <c r="BY16" s="338"/>
      <c r="BZ16" s="338"/>
      <c r="CA16" s="338"/>
      <c r="CB16" s="338"/>
      <c r="CC16" s="338"/>
      <c r="CD16" s="338"/>
      <c r="CE16" s="338"/>
      <c r="CF16" s="338"/>
      <c r="CG16" s="338"/>
    </row>
    <row r="17" spans="1:87" ht="15.75" customHeight="1" x14ac:dyDescent="0.25">
      <c r="A17" s="339" t="s">
        <v>201</v>
      </c>
      <c r="B17" s="340" t="s">
        <v>195</v>
      </c>
      <c r="C17" s="341" t="s">
        <v>107</v>
      </c>
      <c r="D17" s="341" t="s">
        <v>202</v>
      </c>
      <c r="E17" s="341" t="s">
        <v>188</v>
      </c>
      <c r="F17" s="341" t="s">
        <v>116</v>
      </c>
      <c r="G17" s="341" t="s">
        <v>105</v>
      </c>
      <c r="H17" s="272" t="s">
        <v>184</v>
      </c>
      <c r="I17" s="308">
        <v>12828377</v>
      </c>
      <c r="J17" s="309">
        <v>1386.64</v>
      </c>
      <c r="K17" s="310" t="s">
        <v>488</v>
      </c>
      <c r="L17" s="308">
        <v>4500751315</v>
      </c>
      <c r="M17" s="308">
        <v>1000225489</v>
      </c>
      <c r="N17" s="311">
        <v>45679</v>
      </c>
      <c r="O17" s="320">
        <v>45686</v>
      </c>
      <c r="P17" s="308">
        <v>12828377</v>
      </c>
      <c r="Q17" s="309">
        <v>1386.64</v>
      </c>
      <c r="R17" s="308">
        <v>4500751315</v>
      </c>
      <c r="S17" s="90">
        <v>1000225837</v>
      </c>
      <c r="T17" s="95"/>
      <c r="U17" s="335"/>
      <c r="V17" s="342"/>
      <c r="W17" s="309"/>
      <c r="X17" s="308"/>
      <c r="Y17" s="90"/>
      <c r="Z17" s="95"/>
      <c r="AA17" s="316"/>
      <c r="AB17" s="342"/>
      <c r="AC17" s="72"/>
      <c r="AD17" s="90"/>
      <c r="AE17" s="90"/>
      <c r="AF17" s="95"/>
      <c r="AG17" s="94"/>
      <c r="AH17" s="342"/>
      <c r="AI17" s="72"/>
      <c r="AJ17" s="90"/>
      <c r="AK17" s="90"/>
      <c r="AL17" s="95"/>
      <c r="AM17" s="94"/>
      <c r="AN17" s="342"/>
      <c r="AO17" s="214"/>
      <c r="AP17" s="317"/>
      <c r="AQ17" s="108"/>
      <c r="AR17" s="95"/>
      <c r="AS17" s="316"/>
      <c r="AT17" s="108"/>
      <c r="AU17" s="72"/>
      <c r="AV17" s="90"/>
      <c r="AW17" s="90"/>
      <c r="AX17" s="95"/>
      <c r="AY17" s="94"/>
      <c r="AZ17" s="108"/>
      <c r="BA17" s="72"/>
      <c r="BB17" s="90"/>
      <c r="BC17" s="90"/>
      <c r="BD17" s="95"/>
      <c r="BE17" s="316"/>
      <c r="BF17" s="108"/>
      <c r="BG17" s="72"/>
      <c r="BH17" s="96"/>
      <c r="BI17" s="90"/>
      <c r="BJ17" s="90"/>
      <c r="BK17" s="95"/>
      <c r="BL17" s="94"/>
      <c r="BM17" s="108"/>
      <c r="BN17" s="72"/>
      <c r="BO17" s="90"/>
      <c r="BP17" s="90"/>
      <c r="BQ17" s="90"/>
      <c r="BR17" s="95"/>
      <c r="BS17" s="94"/>
      <c r="BT17" s="108"/>
      <c r="BU17" s="72"/>
      <c r="BV17" s="90"/>
      <c r="BW17" s="90"/>
      <c r="BX17" s="90"/>
      <c r="BY17" s="128"/>
      <c r="BZ17" s="316"/>
      <c r="CA17" s="108"/>
      <c r="CB17" s="72"/>
      <c r="CC17" s="90"/>
      <c r="CD17" s="90"/>
      <c r="CE17" s="90"/>
      <c r="CF17" s="128"/>
      <c r="CG17" s="186"/>
    </row>
    <row r="18" spans="1:87" ht="15.75" customHeight="1" x14ac:dyDescent="0.25">
      <c r="A18" s="343" t="s">
        <v>171</v>
      </c>
      <c r="B18" s="343"/>
      <c r="C18" s="339"/>
      <c r="D18" s="339"/>
      <c r="E18" s="339"/>
      <c r="F18" s="339"/>
      <c r="G18" s="339"/>
      <c r="H18" s="272"/>
      <c r="I18" s="344"/>
      <c r="J18" s="345"/>
      <c r="K18" s="346"/>
      <c r="L18" s="344"/>
      <c r="M18" s="344"/>
      <c r="N18" s="347"/>
      <c r="O18" s="348"/>
      <c r="P18" s="349"/>
      <c r="Q18" s="345"/>
      <c r="R18" s="344"/>
      <c r="S18" s="313"/>
      <c r="T18" s="314"/>
      <c r="U18" s="315"/>
      <c r="V18" s="349"/>
      <c r="W18" s="345"/>
      <c r="X18" s="344"/>
      <c r="Y18" s="313"/>
      <c r="Z18" s="314"/>
      <c r="AA18" s="350"/>
      <c r="AB18" s="349"/>
      <c r="AC18" s="351"/>
      <c r="AD18" s="313"/>
      <c r="AE18" s="313"/>
      <c r="AF18" s="314"/>
      <c r="AG18" s="315"/>
      <c r="AH18" s="349"/>
      <c r="AI18" s="351"/>
      <c r="AJ18" s="313"/>
      <c r="AK18" s="313"/>
      <c r="AL18" s="314"/>
      <c r="AM18" s="315"/>
      <c r="AN18" s="349"/>
      <c r="AO18" s="352"/>
      <c r="AP18" s="353"/>
      <c r="AQ18" s="354"/>
      <c r="AR18" s="314"/>
      <c r="AS18" s="350"/>
      <c r="AT18" s="354"/>
      <c r="AU18" s="351"/>
      <c r="AV18" s="313"/>
      <c r="AW18" s="313"/>
      <c r="AX18" s="314"/>
      <c r="AY18" s="315"/>
      <c r="AZ18" s="354"/>
      <c r="BA18" s="351"/>
      <c r="BB18" s="313"/>
      <c r="BC18" s="313"/>
      <c r="BD18" s="314"/>
      <c r="BE18" s="350"/>
      <c r="BF18" s="354"/>
      <c r="BG18" s="351"/>
      <c r="BH18" s="355"/>
      <c r="BI18" s="313"/>
      <c r="BJ18" s="313"/>
      <c r="BK18" s="314"/>
      <c r="BL18" s="315"/>
      <c r="BM18" s="354"/>
      <c r="BN18" s="351"/>
      <c r="BO18" s="313"/>
      <c r="BP18" s="313"/>
      <c r="BQ18" s="313"/>
      <c r="BR18" s="314"/>
      <c r="BS18" s="315"/>
      <c r="BT18" s="354"/>
      <c r="BU18" s="351"/>
      <c r="BV18" s="313"/>
      <c r="BW18" s="313"/>
      <c r="BX18" s="313"/>
      <c r="BY18" s="356"/>
      <c r="BZ18" s="350"/>
      <c r="CA18" s="354"/>
      <c r="CB18" s="351"/>
      <c r="CC18" s="313"/>
      <c r="CD18" s="313"/>
      <c r="CE18" s="313"/>
      <c r="CF18" s="356"/>
      <c r="CG18" s="357"/>
    </row>
    <row r="19" spans="1:87" x14ac:dyDescent="0.25">
      <c r="A19" s="295" t="s">
        <v>171</v>
      </c>
      <c r="B19" s="341" t="s">
        <v>203</v>
      </c>
      <c r="C19" s="295" t="s">
        <v>107</v>
      </c>
      <c r="D19" s="341" t="s">
        <v>202</v>
      </c>
      <c r="E19" s="341" t="s">
        <v>188</v>
      </c>
      <c r="F19" s="295" t="s">
        <v>116</v>
      </c>
      <c r="G19" s="295" t="s">
        <v>105</v>
      </c>
      <c r="H19" s="358" t="s">
        <v>193</v>
      </c>
      <c r="I19" s="308"/>
      <c r="J19" s="309"/>
      <c r="K19" s="310"/>
      <c r="L19" s="308"/>
      <c r="M19" s="308"/>
      <c r="N19" s="311"/>
      <c r="O19" s="312"/>
      <c r="P19" s="342"/>
      <c r="Q19" s="309"/>
      <c r="R19" s="96"/>
      <c r="S19" s="90"/>
      <c r="T19" s="95"/>
      <c r="U19" s="316"/>
      <c r="V19" s="342"/>
      <c r="W19" s="309"/>
      <c r="X19" s="96"/>
      <c r="Y19" s="90"/>
      <c r="Z19" s="95"/>
      <c r="AA19" s="316"/>
      <c r="AB19" s="342"/>
      <c r="AC19" s="72"/>
      <c r="AD19" s="96"/>
      <c r="AE19" s="90"/>
      <c r="AF19" s="95"/>
      <c r="AG19" s="94"/>
      <c r="AH19" s="108"/>
      <c r="AI19" s="72"/>
      <c r="AJ19" s="90"/>
      <c r="AK19" s="90"/>
      <c r="AL19" s="95"/>
      <c r="AM19" s="94"/>
      <c r="AN19" s="108"/>
      <c r="AO19" s="214"/>
      <c r="AP19" s="317"/>
      <c r="AQ19" s="108"/>
      <c r="AR19" s="95"/>
      <c r="AS19" s="316"/>
      <c r="AT19" s="108"/>
      <c r="AU19" s="72"/>
      <c r="AV19" s="90"/>
      <c r="AW19" s="90"/>
      <c r="AX19" s="95"/>
      <c r="AY19" s="94"/>
      <c r="AZ19" s="108"/>
      <c r="BA19" s="72"/>
      <c r="BB19" s="90"/>
      <c r="BC19" s="90"/>
      <c r="BD19" s="95"/>
      <c r="BE19" s="316"/>
      <c r="BF19" s="108"/>
      <c r="BG19" s="72"/>
      <c r="BH19" s="96"/>
      <c r="BI19" s="90"/>
      <c r="BJ19" s="90"/>
      <c r="BK19" s="95"/>
      <c r="BL19" s="94"/>
      <c r="BM19" s="108"/>
      <c r="BN19" s="72"/>
      <c r="BO19" s="96"/>
      <c r="BP19" s="90"/>
      <c r="BQ19" s="90"/>
      <c r="BR19" s="95"/>
      <c r="BS19" s="94"/>
      <c r="BT19" s="108"/>
      <c r="BU19" s="72"/>
      <c r="BV19" s="96"/>
      <c r="BW19" s="90"/>
      <c r="BX19" s="96"/>
      <c r="BY19" s="128"/>
      <c r="BZ19" s="94"/>
      <c r="CA19" s="108"/>
      <c r="CB19" s="72"/>
      <c r="CC19" s="96"/>
      <c r="CD19" s="90"/>
      <c r="CE19" s="90"/>
      <c r="CF19" s="128"/>
      <c r="CG19" s="186"/>
    </row>
    <row r="20" spans="1:87" x14ac:dyDescent="0.25">
      <c r="A20" s="295" t="s">
        <v>204</v>
      </c>
      <c r="B20" s="341" t="s">
        <v>203</v>
      </c>
      <c r="C20" s="295" t="s">
        <v>107</v>
      </c>
      <c r="D20" s="341" t="s">
        <v>202</v>
      </c>
      <c r="E20" s="341" t="s">
        <v>188</v>
      </c>
      <c r="F20" s="295" t="s">
        <v>116</v>
      </c>
      <c r="G20" s="295" t="s">
        <v>105</v>
      </c>
      <c r="H20" s="358" t="s">
        <v>193</v>
      </c>
      <c r="I20" s="308"/>
      <c r="J20" s="309"/>
      <c r="K20" s="310"/>
      <c r="L20" s="308"/>
      <c r="M20" s="308"/>
      <c r="N20" s="311"/>
      <c r="O20" s="312"/>
      <c r="P20" s="342"/>
      <c r="Q20" s="309"/>
      <c r="R20" s="96"/>
      <c r="S20" s="90"/>
      <c r="T20" s="95"/>
      <c r="U20" s="316"/>
      <c r="V20" s="342"/>
      <c r="W20" s="309"/>
      <c r="X20" s="96"/>
      <c r="Y20" s="90"/>
      <c r="Z20" s="95"/>
      <c r="AA20" s="316"/>
      <c r="AB20" s="342"/>
      <c r="AC20" s="72"/>
      <c r="AD20" s="96"/>
      <c r="AE20" s="90"/>
      <c r="AF20" s="95"/>
      <c r="AG20" s="94"/>
      <c r="AH20" s="108"/>
      <c r="AI20" s="72"/>
      <c r="AJ20" s="90"/>
      <c r="AK20" s="90"/>
      <c r="AL20" s="95"/>
      <c r="AM20" s="94"/>
      <c r="AN20" s="108"/>
      <c r="AO20" s="214"/>
      <c r="AP20" s="317"/>
      <c r="AQ20" s="108"/>
      <c r="AR20" s="95"/>
      <c r="AS20" s="316"/>
      <c r="AT20" s="108"/>
      <c r="AU20" s="72"/>
      <c r="AV20" s="90"/>
      <c r="AW20" s="90"/>
      <c r="AX20" s="95"/>
      <c r="AY20" s="94"/>
      <c r="AZ20" s="108"/>
      <c r="BA20" s="72"/>
      <c r="BB20" s="90"/>
      <c r="BC20" s="90"/>
      <c r="BD20" s="95"/>
      <c r="BE20" s="316"/>
      <c r="BF20" s="108"/>
      <c r="BG20" s="72"/>
      <c r="BH20" s="96"/>
      <c r="BI20" s="90"/>
      <c r="BJ20" s="90"/>
      <c r="BK20" s="95"/>
      <c r="BL20" s="94"/>
      <c r="BM20" s="108"/>
      <c r="BN20" s="72"/>
      <c r="BO20" s="96"/>
      <c r="BP20" s="90"/>
      <c r="BQ20" s="90"/>
      <c r="BR20" s="95"/>
      <c r="BS20" s="94"/>
      <c r="BT20" s="108"/>
      <c r="BU20" s="72"/>
      <c r="BV20" s="96"/>
      <c r="BW20" s="90"/>
      <c r="BX20" s="90"/>
      <c r="BY20" s="128"/>
      <c r="BZ20" s="94"/>
      <c r="CA20" s="108"/>
      <c r="CB20" s="72"/>
      <c r="CC20" s="96"/>
      <c r="CD20" s="90"/>
      <c r="CE20" s="90"/>
      <c r="CF20" s="128"/>
      <c r="CG20" s="186"/>
    </row>
    <row r="21" spans="1:87" x14ac:dyDescent="0.25">
      <c r="A21" s="295" t="s">
        <v>205</v>
      </c>
      <c r="B21" s="295" t="s">
        <v>206</v>
      </c>
      <c r="C21" s="295"/>
      <c r="D21" s="295" t="s">
        <v>202</v>
      </c>
      <c r="E21" s="295" t="s">
        <v>188</v>
      </c>
      <c r="F21" s="295" t="s">
        <v>192</v>
      </c>
      <c r="G21" s="295" t="s">
        <v>105</v>
      </c>
      <c r="H21" s="277" t="s">
        <v>192</v>
      </c>
      <c r="I21" s="359"/>
      <c r="J21" s="359"/>
      <c r="K21" s="359"/>
      <c r="L21" s="359"/>
      <c r="M21" s="359"/>
      <c r="N21" s="360"/>
      <c r="O21" s="361"/>
      <c r="P21" s="330"/>
      <c r="Q21" s="333"/>
      <c r="R21" s="333"/>
      <c r="S21" s="333"/>
      <c r="T21" s="331"/>
      <c r="U21" s="332"/>
      <c r="V21" s="330"/>
      <c r="W21" s="333"/>
      <c r="X21" s="333"/>
      <c r="Y21" s="333"/>
      <c r="Z21" s="331"/>
      <c r="AA21" s="332"/>
      <c r="AB21" s="330"/>
      <c r="AC21" s="333"/>
      <c r="AD21" s="333"/>
      <c r="AE21" s="333"/>
      <c r="AF21" s="331"/>
      <c r="AG21" s="332"/>
      <c r="AH21" s="330"/>
      <c r="AI21" s="333"/>
      <c r="AJ21" s="333"/>
      <c r="AK21" s="333"/>
      <c r="AL21" s="331"/>
      <c r="AM21" s="332"/>
      <c r="AN21" s="330"/>
      <c r="AO21" s="331"/>
      <c r="AP21" s="332"/>
      <c r="AQ21" s="330"/>
      <c r="AR21" s="331"/>
      <c r="AS21" s="332"/>
      <c r="AT21" s="330"/>
      <c r="AU21" s="333"/>
      <c r="AV21" s="333"/>
      <c r="AW21" s="333"/>
      <c r="AX21" s="331"/>
      <c r="AY21" s="332"/>
      <c r="AZ21" s="330"/>
      <c r="BA21" s="333"/>
      <c r="BB21" s="333"/>
      <c r="BC21" s="333"/>
      <c r="BD21" s="331"/>
      <c r="BE21" s="332"/>
      <c r="BF21" s="330"/>
      <c r="BG21" s="333"/>
      <c r="BH21" s="333"/>
      <c r="BI21" s="333"/>
      <c r="BJ21" s="333"/>
      <c r="BK21" s="331"/>
      <c r="BL21" s="332"/>
      <c r="BM21" s="330"/>
      <c r="BN21" s="333"/>
      <c r="BO21" s="333"/>
      <c r="BP21" s="333"/>
      <c r="BQ21" s="333"/>
      <c r="BR21" s="331"/>
      <c r="BS21" s="332"/>
      <c r="BT21" s="330"/>
      <c r="BU21" s="333"/>
      <c r="BV21" s="333"/>
      <c r="BW21" s="333"/>
      <c r="BX21" s="333"/>
      <c r="BY21" s="333"/>
      <c r="BZ21" s="333"/>
      <c r="CA21" s="333"/>
      <c r="CB21" s="333"/>
      <c r="CC21" s="333"/>
      <c r="CD21" s="333"/>
      <c r="CE21" s="333"/>
      <c r="CF21" s="333"/>
      <c r="CG21" s="333"/>
    </row>
    <row r="22" spans="1:87" x14ac:dyDescent="0.25">
      <c r="A22" s="336" t="s">
        <v>207</v>
      </c>
      <c r="B22" s="336" t="s">
        <v>208</v>
      </c>
      <c r="C22" s="336"/>
      <c r="D22" s="336" t="s">
        <v>202</v>
      </c>
      <c r="E22" s="336" t="s">
        <v>188</v>
      </c>
      <c r="F22" s="336" t="s">
        <v>192</v>
      </c>
      <c r="G22" s="336" t="s">
        <v>105</v>
      </c>
      <c r="H22" s="337" t="s">
        <v>192</v>
      </c>
      <c r="I22" s="208"/>
      <c r="J22" s="208"/>
      <c r="K22" s="208"/>
      <c r="L22" s="208"/>
      <c r="M22" s="208"/>
      <c r="N22" s="328"/>
      <c r="O22" s="329"/>
      <c r="P22" s="210"/>
      <c r="Q22" s="208"/>
      <c r="R22" s="208"/>
      <c r="S22" s="208"/>
      <c r="T22" s="328"/>
      <c r="U22" s="329"/>
      <c r="V22" s="210"/>
      <c r="W22" s="208"/>
      <c r="X22" s="208"/>
      <c r="Y22" s="208"/>
      <c r="Z22" s="328"/>
      <c r="AA22" s="329"/>
      <c r="AB22" s="210"/>
      <c r="AC22" s="208"/>
      <c r="AD22" s="208"/>
      <c r="AE22" s="208"/>
      <c r="AF22" s="328"/>
      <c r="AG22" s="329"/>
      <c r="AH22" s="210"/>
      <c r="AI22" s="208"/>
      <c r="AJ22" s="208"/>
      <c r="AK22" s="208"/>
      <c r="AL22" s="328"/>
      <c r="AM22" s="329"/>
      <c r="AN22" s="210"/>
      <c r="AO22" s="328"/>
      <c r="AP22" s="329"/>
      <c r="AQ22" s="210"/>
      <c r="AR22" s="328"/>
      <c r="AS22" s="329"/>
      <c r="AT22" s="330"/>
      <c r="AU22" s="333"/>
      <c r="AV22" s="333"/>
      <c r="AW22" s="333"/>
      <c r="AX22" s="331"/>
      <c r="AY22" s="332"/>
      <c r="AZ22" s="330"/>
      <c r="BA22" s="333"/>
      <c r="BB22" s="333"/>
      <c r="BC22" s="333"/>
      <c r="BD22" s="331"/>
      <c r="BE22" s="332"/>
      <c r="BF22" s="330"/>
      <c r="BG22" s="333"/>
      <c r="BH22" s="333"/>
      <c r="BI22" s="333"/>
      <c r="BJ22" s="333"/>
      <c r="BK22" s="331"/>
      <c r="BL22" s="332"/>
      <c r="BM22" s="210"/>
      <c r="BN22" s="208"/>
      <c r="BO22" s="208"/>
      <c r="BP22" s="208"/>
      <c r="BQ22" s="208"/>
      <c r="BR22" s="328"/>
      <c r="BS22" s="329"/>
      <c r="BT22" s="210"/>
      <c r="BU22" s="208"/>
      <c r="BV22" s="208"/>
      <c r="BW22" s="208"/>
      <c r="BX22" s="208"/>
      <c r="BY22" s="208"/>
      <c r="BZ22" s="208"/>
      <c r="CA22" s="208"/>
      <c r="CB22" s="209"/>
      <c r="CC22" s="208"/>
      <c r="CD22" s="208"/>
      <c r="CE22" s="208"/>
      <c r="CF22" s="208"/>
      <c r="CG22" s="208"/>
    </row>
    <row r="23" spans="1:87" ht="15.75" thickBot="1" x14ac:dyDescent="0.3">
      <c r="A23" s="362" t="s">
        <v>209</v>
      </c>
      <c r="B23" s="362" t="s">
        <v>210</v>
      </c>
      <c r="C23" s="362"/>
      <c r="D23" s="363" t="s">
        <v>202</v>
      </c>
      <c r="E23" s="363"/>
      <c r="F23" s="363"/>
      <c r="G23" s="363"/>
      <c r="H23" s="364" t="s">
        <v>192</v>
      </c>
      <c r="I23" s="333"/>
      <c r="J23" s="333"/>
      <c r="K23" s="333"/>
      <c r="L23" s="333"/>
      <c r="M23" s="333"/>
      <c r="N23" s="331"/>
      <c r="O23" s="332"/>
      <c r="P23" s="330"/>
      <c r="Q23" s="333"/>
      <c r="R23" s="333"/>
      <c r="S23" s="333"/>
      <c r="T23" s="331"/>
      <c r="U23" s="332"/>
      <c r="V23" s="330"/>
      <c r="W23" s="333"/>
      <c r="X23" s="333"/>
      <c r="Y23" s="333"/>
      <c r="Z23" s="331"/>
      <c r="AA23" s="332"/>
      <c r="AB23" s="210"/>
      <c r="AC23" s="208"/>
      <c r="AD23" s="208"/>
      <c r="AE23" s="208"/>
      <c r="AF23" s="328"/>
      <c r="AG23" s="329"/>
      <c r="AH23" s="210"/>
      <c r="AI23" s="208"/>
      <c r="AJ23" s="208"/>
      <c r="AK23" s="208"/>
      <c r="AL23" s="328"/>
      <c r="AM23" s="329"/>
      <c r="AN23" s="210"/>
      <c r="AO23" s="328"/>
      <c r="AP23" s="332"/>
      <c r="AQ23" s="330"/>
      <c r="AR23" s="331"/>
      <c r="AS23" s="332"/>
      <c r="AT23" s="330"/>
      <c r="AU23" s="333"/>
      <c r="AV23" s="208"/>
      <c r="AW23" s="333"/>
      <c r="AX23" s="333"/>
      <c r="AY23" s="331"/>
      <c r="AZ23" s="365"/>
      <c r="BA23" s="333"/>
      <c r="BB23" s="333"/>
      <c r="BC23" s="333"/>
      <c r="BD23" s="331"/>
      <c r="BE23" s="332"/>
      <c r="BF23" s="330"/>
      <c r="BG23" s="333"/>
      <c r="BH23" s="333"/>
      <c r="BI23" s="333"/>
      <c r="BJ23" s="333"/>
      <c r="BK23" s="331"/>
      <c r="BL23" s="332"/>
      <c r="BM23" s="330"/>
      <c r="BN23" s="333"/>
      <c r="BO23" s="333"/>
      <c r="BP23" s="333"/>
      <c r="BQ23" s="333"/>
      <c r="BR23" s="331"/>
      <c r="BS23" s="332"/>
      <c r="BT23" s="330"/>
      <c r="BU23" s="333"/>
      <c r="BV23" s="333"/>
      <c r="BW23" s="333"/>
      <c r="BX23" s="333"/>
      <c r="BY23" s="333"/>
      <c r="BZ23" s="333"/>
      <c r="CA23" s="333"/>
      <c r="CB23" s="333"/>
      <c r="CC23" s="333"/>
      <c r="CD23" s="333"/>
      <c r="CE23" s="333"/>
      <c r="CF23" s="333"/>
      <c r="CG23" s="333"/>
      <c r="CH23" s="366"/>
      <c r="CI23" s="366"/>
    </row>
    <row r="24" spans="1:87" x14ac:dyDescent="0.25">
      <c r="AT24" s="272"/>
      <c r="AU24" s="272"/>
      <c r="AV24" s="272"/>
      <c r="AW24" s="272"/>
      <c r="AX24" s="272"/>
      <c r="AY24" s="272"/>
      <c r="AZ24" s="272"/>
      <c r="BA24" s="272"/>
      <c r="BB24" s="272"/>
      <c r="BC24" s="272"/>
    </row>
    <row r="26" spans="1:87" x14ac:dyDescent="0.25">
      <c r="BA26" s="274"/>
    </row>
    <row r="27" spans="1:87" x14ac:dyDescent="0.25">
      <c r="BA27" s="258"/>
    </row>
    <row r="28" spans="1:87" x14ac:dyDescent="0.25">
      <c r="BA28" s="258"/>
    </row>
    <row r="30" spans="1:87" x14ac:dyDescent="0.25">
      <c r="BA30" s="258"/>
    </row>
    <row r="32" spans="1:87" x14ac:dyDescent="0.25">
      <c r="A32" s="367"/>
    </row>
    <row r="36" spans="45:85" x14ac:dyDescent="0.25">
      <c r="CG36" s="368"/>
    </row>
    <row r="38" spans="45:85" x14ac:dyDescent="0.25">
      <c r="AS38" s="369" t="s">
        <v>8</v>
      </c>
    </row>
  </sheetData>
  <mergeCells count="39">
    <mergeCell ref="BF10:BL10"/>
    <mergeCell ref="BM10:BS10"/>
    <mergeCell ref="BT10:BZ10"/>
    <mergeCell ref="I10:O10"/>
    <mergeCell ref="P10:U10"/>
    <mergeCell ref="V10:AA10"/>
    <mergeCell ref="AB10:AG10"/>
    <mergeCell ref="AH10:AM10"/>
    <mergeCell ref="AZ10:BE10"/>
    <mergeCell ref="V3:AA3"/>
    <mergeCell ref="AB3:AG3"/>
    <mergeCell ref="AH3:AM3"/>
    <mergeCell ref="CA3:CG3"/>
    <mergeCell ref="AZ2:BE2"/>
    <mergeCell ref="BF2:BL2"/>
    <mergeCell ref="BM2:BS2"/>
    <mergeCell ref="BT2:BZ2"/>
    <mergeCell ref="CA2:CG2"/>
    <mergeCell ref="AT3:AY3"/>
    <mergeCell ref="AZ3:BE3"/>
    <mergeCell ref="BF3:BL3"/>
    <mergeCell ref="BM3:BS3"/>
    <mergeCell ref="BT3:BZ3"/>
    <mergeCell ref="CA10:CG10"/>
    <mergeCell ref="A5:CG5"/>
    <mergeCell ref="AT10:AY10"/>
    <mergeCell ref="AN10:AS10"/>
    <mergeCell ref="A1:AR1"/>
    <mergeCell ref="AS1:CI1"/>
    <mergeCell ref="A2:H2"/>
    <mergeCell ref="I2:O2"/>
    <mergeCell ref="P2:U2"/>
    <mergeCell ref="V2:AA2"/>
    <mergeCell ref="AB2:AG2"/>
    <mergeCell ref="AH2:AM2"/>
    <mergeCell ref="AN2:AS2"/>
    <mergeCell ref="AT2:AY2"/>
    <mergeCell ref="I3:O3"/>
    <mergeCell ref="P3:U3"/>
  </mergeCells>
  <conditionalFormatting sqref="I11:I15">
    <cfRule type="cellIs" dxfId="220" priority="157" operator="greaterThan">
      <formula>11000000</formula>
    </cfRule>
  </conditionalFormatting>
  <conditionalFormatting sqref="I17:I20">
    <cfRule type="cellIs" dxfId="219" priority="148" operator="greaterThan">
      <formula>11000000</formula>
    </cfRule>
  </conditionalFormatting>
  <conditionalFormatting sqref="J7:K9 BG7:BH9 BU7:BV9 BH19 BU19:BV20 AI6:AI9">
    <cfRule type="cellIs" dxfId="218" priority="178" operator="greaterThan">
      <formula>10</formula>
    </cfRule>
  </conditionalFormatting>
  <conditionalFormatting sqref="J11:K15">
    <cfRule type="cellIs" dxfId="217" priority="153" operator="greaterThan">
      <formula>10</formula>
    </cfRule>
  </conditionalFormatting>
  <conditionalFormatting sqref="J17:K20">
    <cfRule type="cellIs" dxfId="216" priority="144" operator="greaterThan">
      <formula>10</formula>
    </cfRule>
  </conditionalFormatting>
  <conditionalFormatting sqref="K7:K9 BH7:BH9 BV7:BV9 BH17:BH20 BV17:BV20 R19:R20">
    <cfRule type="containsText" dxfId="215" priority="177" operator="containsText" text="n">
      <formula>NOT(ISERROR(SEARCH("n",K7)))</formula>
    </cfRule>
  </conditionalFormatting>
  <conditionalFormatting sqref="K11:K15">
    <cfRule type="containsText" dxfId="214" priority="151" operator="containsText" text="s">
      <formula>NOT(ISERROR(SEARCH("s",K11)))</formula>
    </cfRule>
    <cfRule type="containsText" dxfId="213" priority="152" operator="containsText" text="n">
      <formula>NOT(ISERROR(SEARCH("n",K11)))</formula>
    </cfRule>
  </conditionalFormatting>
  <conditionalFormatting sqref="K17:K20">
    <cfRule type="containsText" dxfId="212" priority="142" operator="containsText" text="s">
      <formula>NOT(ISERROR(SEARCH("s",K17)))</formula>
    </cfRule>
    <cfRule type="containsText" dxfId="211" priority="143" operator="containsText" text="n">
      <formula>NOT(ISERROR(SEARCH("n",K17)))</formula>
    </cfRule>
  </conditionalFormatting>
  <conditionalFormatting sqref="L7:L9 X7:X9 AJ7:AJ9 BI7:BI9">
    <cfRule type="cellIs" dxfId="210" priority="182" operator="greaterThan">
      <formula>4400000000</formula>
    </cfRule>
  </conditionalFormatting>
  <conditionalFormatting sqref="L11:L14">
    <cfRule type="cellIs" dxfId="209" priority="156" operator="greaterThan">
      <formula>4400000000</formula>
    </cfRule>
  </conditionalFormatting>
  <conditionalFormatting sqref="L15">
    <cfRule type="cellIs" dxfId="208" priority="62" operator="greaterThan">
      <formula>11000000</formula>
    </cfRule>
  </conditionalFormatting>
  <conditionalFormatting sqref="L17:L20">
    <cfRule type="cellIs" dxfId="207" priority="147" operator="greaterThan">
      <formula>4400000000</formula>
    </cfRule>
  </conditionalFormatting>
  <conditionalFormatting sqref="M17:M18 S17:S20 BX17:BY20 T19:U20">
    <cfRule type="cellIs" dxfId="206" priority="146" operator="greaterThan">
      <formula>100000000</formula>
    </cfRule>
  </conditionalFormatting>
  <conditionalFormatting sqref="M8:N9">
    <cfRule type="cellIs" dxfId="205" priority="136" operator="greaterThan">
      <formula>100000000</formula>
    </cfRule>
  </conditionalFormatting>
  <conditionalFormatting sqref="M11:N15">
    <cfRule type="cellIs" dxfId="204" priority="137" operator="greaterThan">
      <formula>100000000</formula>
    </cfRule>
  </conditionalFormatting>
  <conditionalFormatting sqref="M7:O7">
    <cfRule type="cellIs" dxfId="203" priority="139" operator="greaterThan">
      <formula>100000000</formula>
    </cfRule>
  </conditionalFormatting>
  <conditionalFormatting sqref="O17:O18 BL17:BL20 BZ17:BZ20">
    <cfRule type="cellIs" dxfId="202" priority="145" operator="greaterThan">
      <formula>43551</formula>
    </cfRule>
  </conditionalFormatting>
  <conditionalFormatting sqref="O19:O20">
    <cfRule type="cellIs" dxfId="201" priority="138" operator="greaterThan">
      <formula>100000000</formula>
    </cfRule>
  </conditionalFormatting>
  <conditionalFormatting sqref="P8:P9 AB7:AB9 AN7:AN9 AZ7:AZ9 BM7:BM9 BZ7:BZ9">
    <cfRule type="cellIs" dxfId="200" priority="175" operator="greaterThan">
      <formula>11000000</formula>
    </cfRule>
  </conditionalFormatting>
  <conditionalFormatting sqref="P18:P20">
    <cfRule type="cellIs" dxfId="199" priority="56" operator="greaterThan">
      <formula>11000000</formula>
    </cfRule>
  </conditionalFormatting>
  <conditionalFormatting sqref="Q18:Q20">
    <cfRule type="cellIs" dxfId="198" priority="55" operator="greaterThan">
      <formula>10</formula>
    </cfRule>
  </conditionalFormatting>
  <conditionalFormatting sqref="R17:R18">
    <cfRule type="cellIs" dxfId="197" priority="57" operator="greaterThan">
      <formula>4400000000</formula>
    </cfRule>
  </conditionalFormatting>
  <conditionalFormatting sqref="R19:R20 BI20 Q8:Q9">
    <cfRule type="cellIs" dxfId="196" priority="179" operator="greaterThan">
      <formula>10</formula>
    </cfRule>
  </conditionalFormatting>
  <conditionalFormatting sqref="R11:S14">
    <cfRule type="cellIs" dxfId="195" priority="59" operator="greaterThan">
      <formula>4400000000</formula>
    </cfRule>
  </conditionalFormatting>
  <conditionalFormatting sqref="R15:S15">
    <cfRule type="cellIs" dxfId="194" priority="58" operator="greaterThan">
      <formula>11000000</formula>
    </cfRule>
  </conditionalFormatting>
  <conditionalFormatting sqref="T11:T15 AF11:AF15 BQ11:BQ15 CE11:CF15 AE12:AE15 T17:T18">
    <cfRule type="cellIs" dxfId="193" priority="150" operator="greaterThan">
      <formula>100000000</formula>
    </cfRule>
  </conditionalFormatting>
  <conditionalFormatting sqref="U7:U9 AG7:AG9 BE7:BE9 BS7:BS9">
    <cfRule type="cellIs" dxfId="192" priority="172" operator="greaterThan">
      <formula>43551</formula>
    </cfRule>
  </conditionalFormatting>
  <conditionalFormatting sqref="V8:V9">
    <cfRule type="cellIs" dxfId="191" priority="43" operator="greaterThan">
      <formula>11000000</formula>
    </cfRule>
  </conditionalFormatting>
  <conditionalFormatting sqref="V11:V15">
    <cfRule type="cellIs" dxfId="190" priority="51" operator="greaterThan">
      <formula>11000000</formula>
    </cfRule>
  </conditionalFormatting>
  <conditionalFormatting sqref="V17:V20">
    <cfRule type="cellIs" dxfId="189" priority="46" operator="greaterThan">
      <formula>11000000</formula>
    </cfRule>
  </conditionalFormatting>
  <conditionalFormatting sqref="W6:W9">
    <cfRule type="cellIs" dxfId="188" priority="44" operator="greaterThan">
      <formula>10</formula>
    </cfRule>
  </conditionalFormatting>
  <conditionalFormatting sqref="W11:W15">
    <cfRule type="cellIs" dxfId="187" priority="50" operator="greaterThan">
      <formula>10</formula>
    </cfRule>
  </conditionalFormatting>
  <conditionalFormatting sqref="W17:W20">
    <cfRule type="cellIs" dxfId="186" priority="45" operator="greaterThan">
      <formula>10</formula>
    </cfRule>
  </conditionalFormatting>
  <conditionalFormatting sqref="X11:X14">
    <cfRule type="cellIs" dxfId="185" priority="49" operator="greaterThan">
      <formula>4400000000</formula>
    </cfRule>
  </conditionalFormatting>
  <conditionalFormatting sqref="X15">
    <cfRule type="cellIs" dxfId="184" priority="48" operator="greaterThan">
      <formula>11000000</formula>
    </cfRule>
  </conditionalFormatting>
  <conditionalFormatting sqref="X17:X18">
    <cfRule type="cellIs" dxfId="183" priority="47" operator="greaterThan">
      <formula>4400000000</formula>
    </cfRule>
  </conditionalFormatting>
  <conditionalFormatting sqref="X19:X20">
    <cfRule type="containsText" dxfId="182" priority="52" operator="containsText" text="s">
      <formula>NOT(ISERROR(SEARCH("s",X19)))</formula>
    </cfRule>
    <cfRule type="containsText" dxfId="181" priority="53" operator="containsText" text="n">
      <formula>NOT(ISERROR(SEARCH("n",X19)))</formula>
    </cfRule>
    <cfRule type="cellIs" dxfId="180" priority="54" operator="greaterThan">
      <formula>10</formula>
    </cfRule>
  </conditionalFormatting>
  <conditionalFormatting sqref="Y7:AA9">
    <cfRule type="cellIs" dxfId="179" priority="124" operator="greaterThan">
      <formula>100000000</formula>
    </cfRule>
  </conditionalFormatting>
  <conditionalFormatting sqref="Y11:AA15">
    <cfRule type="cellIs" dxfId="178" priority="123" operator="greaterThan">
      <formula>100000000</formula>
    </cfRule>
  </conditionalFormatting>
  <conditionalFormatting sqref="Y17:AA20">
    <cfRule type="cellIs" dxfId="177" priority="42" operator="greaterThan">
      <formula>100000000</formula>
    </cfRule>
  </conditionalFormatting>
  <conditionalFormatting sqref="AB11:AB15">
    <cfRule type="cellIs" dxfId="176" priority="41" operator="greaterThan">
      <formula>11000000</formula>
    </cfRule>
  </conditionalFormatting>
  <conditionalFormatting sqref="AB17:AB20">
    <cfRule type="cellIs" dxfId="175" priority="40" operator="greaterThan">
      <formula>11000000</formula>
    </cfRule>
  </conditionalFormatting>
  <conditionalFormatting sqref="AC6:AC9">
    <cfRule type="cellIs" dxfId="174" priority="28" operator="greaterThan">
      <formula>10</formula>
    </cfRule>
  </conditionalFormatting>
  <conditionalFormatting sqref="AC11:AC15">
    <cfRule type="cellIs" dxfId="173" priority="126" operator="greaterThan">
      <formula>10</formula>
    </cfRule>
  </conditionalFormatting>
  <conditionalFormatting sqref="AC17:AC18">
    <cfRule type="cellIs" dxfId="172" priority="130" operator="greaterThan">
      <formula>10</formula>
    </cfRule>
  </conditionalFormatting>
  <conditionalFormatting sqref="AC19:AD20">
    <cfRule type="cellIs" dxfId="171" priority="129" operator="greaterThan">
      <formula>10</formula>
    </cfRule>
  </conditionalFormatting>
  <conditionalFormatting sqref="AD7:AD9 BP7:BP9 CC7:CC9">
    <cfRule type="cellIs" dxfId="170" priority="174" operator="greaterThan">
      <formula>4400000000</formula>
    </cfRule>
  </conditionalFormatting>
  <conditionalFormatting sqref="AD11:AD15">
    <cfRule type="cellIs" dxfId="169" priority="125" operator="greaterThan">
      <formula>4400000000</formula>
    </cfRule>
  </conditionalFormatting>
  <conditionalFormatting sqref="AD17:AD18">
    <cfRule type="cellIs" dxfId="168" priority="131" operator="greaterThan">
      <formula>4400000000</formula>
    </cfRule>
  </conditionalFormatting>
  <conditionalFormatting sqref="AD19:AD20">
    <cfRule type="containsText" dxfId="167" priority="127" operator="containsText" text="s">
      <formula>NOT(ISERROR(SEARCH("s",AD19)))</formula>
    </cfRule>
    <cfRule type="containsText" dxfId="166" priority="128" operator="containsText" text="n">
      <formula>NOT(ISERROR(SEARCH("n",AD19)))</formula>
    </cfRule>
  </conditionalFormatting>
  <conditionalFormatting sqref="AE17:AF20">
    <cfRule type="cellIs" dxfId="165" priority="118" operator="greaterThan">
      <formula>100000000</formula>
    </cfRule>
  </conditionalFormatting>
  <conditionalFormatting sqref="AG17:AG20 BS17:BS20 CG17:CG20">
    <cfRule type="cellIs" dxfId="164" priority="140" operator="greaterThan">
      <formula>43551</formula>
    </cfRule>
  </conditionalFormatting>
  <conditionalFormatting sqref="AH6:AH9 I7:I9 BF7:BF9 BT7:BT9 BJ20">
    <cfRule type="cellIs" dxfId="163" priority="183" operator="greaterThan">
      <formula>11000000</formula>
    </cfRule>
  </conditionalFormatting>
  <conditionalFormatting sqref="AH11:AH15">
    <cfRule type="cellIs" dxfId="162" priority="39" operator="greaterThan">
      <formula>11000000</formula>
    </cfRule>
  </conditionalFormatting>
  <conditionalFormatting sqref="AH17:AH20">
    <cfRule type="cellIs" dxfId="161" priority="37" operator="greaterThan">
      <formula>11000000</formula>
    </cfRule>
  </conditionalFormatting>
  <conditionalFormatting sqref="AI11:AI15">
    <cfRule type="cellIs" dxfId="160" priority="38" operator="greaterThan">
      <formula>10</formula>
    </cfRule>
  </conditionalFormatting>
  <conditionalFormatting sqref="AI17:AI18">
    <cfRule type="cellIs" dxfId="159" priority="36" operator="greaterThan">
      <formula>10</formula>
    </cfRule>
  </conditionalFormatting>
  <conditionalFormatting sqref="AI19:AJ20">
    <cfRule type="cellIs" dxfId="158" priority="121" operator="greaterThan">
      <formula>10</formula>
    </cfRule>
  </conditionalFormatting>
  <conditionalFormatting sqref="AJ11:AJ15">
    <cfRule type="cellIs" dxfId="157" priority="117" operator="greaterThan">
      <formula>4400000000</formula>
    </cfRule>
  </conditionalFormatting>
  <conditionalFormatting sqref="AJ17:AJ18">
    <cfRule type="cellIs" dxfId="156" priority="122" operator="greaterThan">
      <formula>4400000000</formula>
    </cfRule>
  </conditionalFormatting>
  <conditionalFormatting sqref="AJ19:AJ20">
    <cfRule type="containsText" dxfId="155" priority="119" operator="containsText" text="s">
      <formula>NOT(ISERROR(SEARCH("s",AJ19)))</formula>
    </cfRule>
    <cfRule type="containsText" dxfId="154" priority="120" operator="containsText" text="n">
      <formula>NOT(ISERROR(SEARCH("n",AJ19)))</formula>
    </cfRule>
  </conditionalFormatting>
  <conditionalFormatting sqref="AK7:AL9 AW7:AX9 CF17:CF18 M17:N20">
    <cfRule type="cellIs" dxfId="153" priority="181" operator="greaterThan">
      <formula>100000000</formula>
    </cfRule>
  </conditionalFormatting>
  <conditionalFormatting sqref="AK11:AL15 AK17:AL20">
    <cfRule type="cellIs" dxfId="152" priority="135" operator="greaterThan">
      <formula>100000000</formula>
    </cfRule>
  </conditionalFormatting>
  <conditionalFormatting sqref="AM7 AY7:AY9 O8:O9 O11:O15 AM17:AM20">
    <cfRule type="cellIs" dxfId="151" priority="180" operator="greaterThan">
      <formula>43551</formula>
    </cfRule>
  </conditionalFormatting>
  <conditionalFormatting sqref="AM8:AM9">
    <cfRule type="cellIs" dxfId="150" priority="109" operator="greaterThan">
      <formula>100000000</formula>
    </cfRule>
  </conditionalFormatting>
  <conditionalFormatting sqref="AM11:AM12 AM15">
    <cfRule type="cellIs" dxfId="149" priority="116" operator="greaterThan">
      <formula>43551</formula>
    </cfRule>
  </conditionalFormatting>
  <conditionalFormatting sqref="AM13:AM14">
    <cfRule type="cellIs" dxfId="148" priority="108" operator="greaterThan">
      <formula>100000000</formula>
    </cfRule>
  </conditionalFormatting>
  <conditionalFormatting sqref="AN11:AN15">
    <cfRule type="cellIs" dxfId="147" priority="34" operator="greaterThan">
      <formula>11000000</formula>
    </cfRule>
  </conditionalFormatting>
  <conditionalFormatting sqref="AN17:AN20">
    <cfRule type="cellIs" dxfId="146" priority="31" operator="greaterThan">
      <formula>11000000</formula>
    </cfRule>
  </conditionalFormatting>
  <conditionalFormatting sqref="AO7:AO9">
    <cfRule type="cellIs" dxfId="145" priority="29" operator="greaterThan">
      <formula>10</formula>
    </cfRule>
  </conditionalFormatting>
  <conditionalFormatting sqref="AO11:AO15">
    <cfRule type="cellIs" dxfId="144" priority="33" operator="greaterThan">
      <formula>10</formula>
    </cfRule>
  </conditionalFormatting>
  <conditionalFormatting sqref="AO17:AO20">
    <cfRule type="cellIs" dxfId="143" priority="30" operator="greaterThan">
      <formula>10</formula>
    </cfRule>
  </conditionalFormatting>
  <conditionalFormatting sqref="AP7:AP9">
    <cfRule type="cellIs" dxfId="142" priority="112" operator="greaterThan">
      <formula>4400000000</formula>
    </cfRule>
  </conditionalFormatting>
  <conditionalFormatting sqref="AP11:AP15">
    <cfRule type="cellIs" dxfId="141" priority="35" operator="greaterThan">
      <formula>4400000000</formula>
    </cfRule>
  </conditionalFormatting>
  <conditionalFormatting sqref="AP17:AP20">
    <cfRule type="cellIs" dxfId="140" priority="32" operator="greaterThan">
      <formula>4400000000</formula>
    </cfRule>
  </conditionalFormatting>
  <conditionalFormatting sqref="AQ7:AR9">
    <cfRule type="cellIs" dxfId="139" priority="168" operator="greaterThan">
      <formula>100000000</formula>
    </cfRule>
  </conditionalFormatting>
  <conditionalFormatting sqref="AQ11:AS15">
    <cfRule type="cellIs" dxfId="138" priority="111" operator="greaterThan">
      <formula>100000000</formula>
    </cfRule>
  </conditionalFormatting>
  <conditionalFormatting sqref="AQ17:AS20">
    <cfRule type="cellIs" dxfId="137" priority="110" operator="greaterThan">
      <formula>100000000</formula>
    </cfRule>
  </conditionalFormatting>
  <conditionalFormatting sqref="AS7:AS9 CF7:CG9 U11:U15 AG11:AG15 BS11:BS15 CG11:CG15 U17:U18">
    <cfRule type="cellIs" dxfId="136" priority="149" operator="greaterThan">
      <formula>43551</formula>
    </cfRule>
  </conditionalFormatting>
  <conditionalFormatting sqref="AT7:AT9">
    <cfRule type="cellIs" dxfId="135" priority="114" operator="greaterThan">
      <formula>11000000</formula>
    </cfRule>
  </conditionalFormatting>
  <conditionalFormatting sqref="AT11:AT15">
    <cfRule type="cellIs" dxfId="134" priority="27" operator="greaterThan">
      <formula>11000000</formula>
    </cfRule>
  </conditionalFormatting>
  <conditionalFormatting sqref="AT17:AT20">
    <cfRule type="cellIs" dxfId="133" priority="22" operator="greaterThan">
      <formula>11000000</formula>
    </cfRule>
  </conditionalFormatting>
  <conditionalFormatting sqref="AU7:AU9">
    <cfRule type="cellIs" dxfId="132" priority="24" operator="greaterThan">
      <formula>10</formula>
    </cfRule>
  </conditionalFormatting>
  <conditionalFormatting sqref="AU11:AU15">
    <cfRule type="cellIs" dxfId="131" priority="25" operator="greaterThan">
      <formula>10</formula>
    </cfRule>
  </conditionalFormatting>
  <conditionalFormatting sqref="AU17:AU20">
    <cfRule type="cellIs" dxfId="130" priority="21" operator="greaterThan">
      <formula>10</formula>
    </cfRule>
  </conditionalFormatting>
  <conditionalFormatting sqref="AV7:AV9">
    <cfRule type="cellIs" dxfId="129" priority="115" operator="greaterThan">
      <formula>4400000000</formula>
    </cfRule>
  </conditionalFormatting>
  <conditionalFormatting sqref="AV11:AV15">
    <cfRule type="cellIs" dxfId="128" priority="26" operator="greaterThan">
      <formula>4400000000</formula>
    </cfRule>
  </conditionalFormatting>
  <conditionalFormatting sqref="AV17:AV20">
    <cfRule type="cellIs" dxfId="127" priority="23" operator="greaterThan">
      <formula>4400000000</formula>
    </cfRule>
  </conditionalFormatting>
  <conditionalFormatting sqref="AW11:AX15 BX11:BY15">
    <cfRule type="cellIs" dxfId="126" priority="155" operator="greaterThan">
      <formula>100000000</formula>
    </cfRule>
  </conditionalFormatting>
  <conditionalFormatting sqref="AW17:AX20">
    <cfRule type="cellIs" dxfId="125" priority="113" operator="greaterThan">
      <formula>100000000</formula>
    </cfRule>
  </conditionalFormatting>
  <conditionalFormatting sqref="AY11:AY15 BL11:BL15 BZ11:BZ15">
    <cfRule type="cellIs" dxfId="124" priority="154" operator="greaterThan">
      <formula>43551</formula>
    </cfRule>
  </conditionalFormatting>
  <conditionalFormatting sqref="AY17:AY20">
    <cfRule type="cellIs" dxfId="123" priority="133" operator="greaterThan">
      <formula>43551</formula>
    </cfRule>
  </conditionalFormatting>
  <conditionalFormatting sqref="AZ11:AZ15">
    <cfRule type="cellIs" dxfId="122" priority="18" operator="greaterThan">
      <formula>11000000</formula>
    </cfRule>
  </conditionalFormatting>
  <conditionalFormatting sqref="AZ17:AZ20">
    <cfRule type="cellIs" dxfId="121" priority="20" operator="greaterThan">
      <formula>11000000</formula>
    </cfRule>
  </conditionalFormatting>
  <conditionalFormatting sqref="BA11:BA15">
    <cfRule type="cellIs" dxfId="120" priority="17" operator="greaterThan">
      <formula>10</formula>
    </cfRule>
  </conditionalFormatting>
  <conditionalFormatting sqref="BA17:BA19">
    <cfRule type="cellIs" dxfId="119" priority="19" operator="greaterThan">
      <formula>10</formula>
    </cfRule>
  </conditionalFormatting>
  <conditionalFormatting sqref="BA20:BB20">
    <cfRule type="cellIs" dxfId="118" priority="105" operator="greaterThan">
      <formula>10</formula>
    </cfRule>
  </conditionalFormatting>
  <conditionalFormatting sqref="BB7 R7:R9 BA8:BB9">
    <cfRule type="cellIs" dxfId="117" priority="184" operator="greaterThan">
      <formula>4400000000</formula>
    </cfRule>
  </conditionalFormatting>
  <conditionalFormatting sqref="BB11:BB15">
    <cfRule type="cellIs" dxfId="116" priority="106" operator="greaterThan">
      <formula>4400000000</formula>
    </cfRule>
  </conditionalFormatting>
  <conditionalFormatting sqref="BB17:BB19">
    <cfRule type="cellIs" dxfId="115" priority="102" operator="greaterThan">
      <formula>4400000000</formula>
    </cfRule>
  </conditionalFormatting>
  <conditionalFormatting sqref="BB20">
    <cfRule type="containsText" dxfId="114" priority="103" operator="containsText" text="s">
      <formula>NOT(ISERROR(SEARCH("s",BB20)))</formula>
    </cfRule>
    <cfRule type="containsText" dxfId="113" priority="104" operator="containsText" text="n">
      <formula>NOT(ISERROR(SEARCH("n",BB20)))</formula>
    </cfRule>
  </conditionalFormatting>
  <conditionalFormatting sqref="BC11:BD15">
    <cfRule type="cellIs" dxfId="112" priority="107" operator="greaterThan">
      <formula>100000000</formula>
    </cfRule>
  </conditionalFormatting>
  <conditionalFormatting sqref="BC17:BE20">
    <cfRule type="cellIs" dxfId="111" priority="101" operator="greaterThan">
      <formula>100000000</formula>
    </cfRule>
  </conditionalFormatting>
  <conditionalFormatting sqref="BE11:BE15">
    <cfRule type="cellIs" dxfId="110" priority="134" operator="greaterThan">
      <formula>43551</formula>
    </cfRule>
  </conditionalFormatting>
  <conditionalFormatting sqref="BF11:BF13 BF15">
    <cfRule type="cellIs" dxfId="109" priority="15" operator="greaterThan">
      <formula>11000000</formula>
    </cfRule>
  </conditionalFormatting>
  <conditionalFormatting sqref="BF17:BF20">
    <cfRule type="cellIs" dxfId="108" priority="12" operator="greaterThan">
      <formula>11000000</formula>
    </cfRule>
  </conditionalFormatting>
  <conditionalFormatting sqref="BG11:BG13">
    <cfRule type="cellIs" dxfId="107" priority="16" operator="greaterThan">
      <formula>10</formula>
    </cfRule>
  </conditionalFormatting>
  <conditionalFormatting sqref="BG15">
    <cfRule type="cellIs" dxfId="106" priority="14" operator="greaterThan">
      <formula>10</formula>
    </cfRule>
  </conditionalFormatting>
  <conditionalFormatting sqref="BG19">
    <cfRule type="cellIs" dxfId="105" priority="11" operator="greaterThan">
      <formula>10</formula>
    </cfRule>
  </conditionalFormatting>
  <conditionalFormatting sqref="BG17:BH18">
    <cfRule type="cellIs" dxfId="104" priority="13" operator="greaterThan">
      <formula>10</formula>
    </cfRule>
  </conditionalFormatting>
  <conditionalFormatting sqref="BG20:BH20">
    <cfRule type="cellIs" dxfId="103" priority="93" operator="greaterThan">
      <formula>10</formula>
    </cfRule>
  </conditionalFormatting>
  <conditionalFormatting sqref="BH11:BH13 BG14:BH14 BH15">
    <cfRule type="cellIs" dxfId="102" priority="98" operator="greaterThan">
      <formula>10</formula>
    </cfRule>
  </conditionalFormatting>
  <conditionalFormatting sqref="BH11:BH15">
    <cfRule type="containsText" dxfId="101" priority="96" operator="containsText" text="s">
      <formula>NOT(ISERROR(SEARCH("s",BH11)))</formula>
    </cfRule>
    <cfRule type="containsText" dxfId="100" priority="97" operator="containsText" text="n">
      <formula>NOT(ISERROR(SEARCH("n",BH11)))</formula>
    </cfRule>
  </conditionalFormatting>
  <conditionalFormatting sqref="BH17:BH20 BV17:BV20 K7:K9 BH7:BH9 BV7:BV9 R19:R20">
    <cfRule type="containsText" dxfId="99" priority="176" operator="containsText" text="s">
      <formula>NOT(ISERROR(SEARCH("s",K7)))</formula>
    </cfRule>
  </conditionalFormatting>
  <conditionalFormatting sqref="BI11:BI15">
    <cfRule type="cellIs" dxfId="98" priority="100" operator="greaterThan">
      <formula>4400000000</formula>
    </cfRule>
  </conditionalFormatting>
  <conditionalFormatting sqref="BI17:BI20">
    <cfRule type="cellIs" dxfId="97" priority="99" operator="greaterThan">
      <formula>4400000000</formula>
    </cfRule>
  </conditionalFormatting>
  <conditionalFormatting sqref="BI20">
    <cfRule type="containsText" dxfId="96" priority="94" operator="containsText" text="s">
      <formula>NOT(ISERROR(SEARCH("s",BI20)))</formula>
    </cfRule>
    <cfRule type="containsText" dxfId="95" priority="95" operator="containsText" text="n">
      <formula>NOT(ISERROR(SEARCH("n",BI20)))</formula>
    </cfRule>
  </conditionalFormatting>
  <conditionalFormatting sqref="BJ7:BK9">
    <cfRule type="cellIs" dxfId="94" priority="167" operator="greaterThan">
      <formula>100000000</formula>
    </cfRule>
  </conditionalFormatting>
  <conditionalFormatting sqref="BJ11:BK15">
    <cfRule type="cellIs" dxfId="93" priority="92" operator="greaterThan">
      <formula>100000000</formula>
    </cfRule>
  </conditionalFormatting>
  <conditionalFormatting sqref="BJ17:BK20">
    <cfRule type="cellIs" dxfId="92" priority="132" operator="greaterThan">
      <formula>100000000</formula>
    </cfRule>
  </conditionalFormatting>
  <conditionalFormatting sqref="BL7:BL9">
    <cfRule type="cellIs" dxfId="91" priority="166" operator="greaterThan">
      <formula>43551</formula>
    </cfRule>
  </conditionalFormatting>
  <conditionalFormatting sqref="BM11:BM15">
    <cfRule type="cellIs" dxfId="90" priority="86" operator="greaterThan">
      <formula>11000000</formula>
    </cfRule>
  </conditionalFormatting>
  <conditionalFormatting sqref="BM17:BM20">
    <cfRule type="cellIs" dxfId="89" priority="89" operator="greaterThan">
      <formula>11000000</formula>
    </cfRule>
  </conditionalFormatting>
  <conditionalFormatting sqref="BN7:BO9 CA7:CB9 BN19:BO20 CC19:CC20 BA7:BA9">
    <cfRule type="cellIs" dxfId="88" priority="171" operator="greaterThan">
      <formula>10</formula>
    </cfRule>
  </conditionalFormatting>
  <conditionalFormatting sqref="BN11:BO15">
    <cfRule type="cellIs" dxfId="87" priority="84" operator="greaterThan">
      <formula>10</formula>
    </cfRule>
  </conditionalFormatting>
  <conditionalFormatting sqref="BN17:BO18">
    <cfRule type="cellIs" dxfId="86" priority="87" operator="greaterThan">
      <formula>10</formula>
    </cfRule>
  </conditionalFormatting>
  <conditionalFormatting sqref="BO7:BO9 CB7:CB9">
    <cfRule type="containsText" dxfId="85" priority="169" operator="containsText" text="s">
      <formula>NOT(ISERROR(SEARCH("s",BO7)))</formula>
    </cfRule>
    <cfRule type="containsText" dxfId="84" priority="170" operator="containsText" text="n">
      <formula>NOT(ISERROR(SEARCH("n",BO7)))</formula>
    </cfRule>
  </conditionalFormatting>
  <conditionalFormatting sqref="BO11:BO15">
    <cfRule type="containsText" dxfId="83" priority="82" operator="containsText" text="s">
      <formula>NOT(ISERROR(SEARCH("s",BO11)))</formula>
    </cfRule>
    <cfRule type="containsText" dxfId="82" priority="83" operator="containsText" text="n">
      <formula>NOT(ISERROR(SEARCH("n",BO11)))</formula>
    </cfRule>
  </conditionalFormatting>
  <conditionalFormatting sqref="BO17:BO20">
    <cfRule type="containsText" dxfId="81" priority="90" operator="containsText" text="s">
      <formula>NOT(ISERROR(SEARCH("s",BO17)))</formula>
    </cfRule>
    <cfRule type="containsText" dxfId="80" priority="91" operator="containsText" text="n">
      <formula>NOT(ISERROR(SEARCH("n",BO17)))</formula>
    </cfRule>
  </conditionalFormatting>
  <conditionalFormatting sqref="BP11:BP15">
    <cfRule type="cellIs" dxfId="79" priority="85" operator="greaterThan">
      <formula>4400000000</formula>
    </cfRule>
  </conditionalFormatting>
  <conditionalFormatting sqref="BP17:BP20">
    <cfRule type="cellIs" dxfId="78" priority="88" operator="greaterThan">
      <formula>4400000000</formula>
    </cfRule>
  </conditionalFormatting>
  <conditionalFormatting sqref="BQ17:BQ20 CE17:CF20">
    <cfRule type="cellIs" dxfId="77" priority="141" operator="greaterThan">
      <formula>100000000</formula>
    </cfRule>
  </conditionalFormatting>
  <conditionalFormatting sqref="BQ7:BR8 S7:T9 AE7:AF9 BC7:BD9 CD7:CE9 BQ9">
    <cfRule type="cellIs" dxfId="76" priority="173" operator="greaterThan">
      <formula>100000000</formula>
    </cfRule>
  </conditionalFormatting>
  <conditionalFormatting sqref="BR9">
    <cfRule type="cellIs" dxfId="75" priority="164" operator="greaterThan">
      <formula>5000000000</formula>
    </cfRule>
  </conditionalFormatting>
  <conditionalFormatting sqref="BR11:BR15 BR17:BR20">
    <cfRule type="cellIs" dxfId="74" priority="165" operator="greaterThan">
      <formula>5000000000</formula>
    </cfRule>
  </conditionalFormatting>
  <conditionalFormatting sqref="BT11:BT15">
    <cfRule type="cellIs" dxfId="73" priority="81" operator="greaterThan">
      <formula>11000000</formula>
    </cfRule>
  </conditionalFormatting>
  <conditionalFormatting sqref="BT17:BT20">
    <cfRule type="cellIs" dxfId="72" priority="71" operator="greaterThan">
      <formula>11000000</formula>
    </cfRule>
  </conditionalFormatting>
  <conditionalFormatting sqref="BU11:BV15">
    <cfRule type="cellIs" dxfId="71" priority="79" operator="greaterThan">
      <formula>10</formula>
    </cfRule>
  </conditionalFormatting>
  <conditionalFormatting sqref="BU17:BV18">
    <cfRule type="cellIs" dxfId="70" priority="69" operator="greaterThan">
      <formula>10</formula>
    </cfRule>
  </conditionalFormatting>
  <conditionalFormatting sqref="BV11:BV15">
    <cfRule type="containsText" dxfId="69" priority="77" operator="containsText" text="s">
      <formula>NOT(ISERROR(SEARCH("s",BV11)))</formula>
    </cfRule>
    <cfRule type="containsText" dxfId="68" priority="78" operator="containsText" text="n">
      <formula>NOT(ISERROR(SEARCH("n",BV11)))</formula>
    </cfRule>
  </conditionalFormatting>
  <conditionalFormatting sqref="BW11:BW15">
    <cfRule type="cellIs" dxfId="67" priority="80" operator="greaterThan">
      <formula>4400000000</formula>
    </cfRule>
  </conditionalFormatting>
  <conditionalFormatting sqref="BW17:BW20">
    <cfRule type="cellIs" dxfId="66" priority="70" operator="greaterThan">
      <formula>4400000000</formula>
    </cfRule>
  </conditionalFormatting>
  <conditionalFormatting sqref="BW7:BX9">
    <cfRule type="cellIs" dxfId="65" priority="163" operator="greaterThan">
      <formula>100000000</formula>
    </cfRule>
  </conditionalFormatting>
  <conditionalFormatting sqref="BY7:BY9">
    <cfRule type="cellIs" dxfId="64" priority="162" operator="greaterThan">
      <formula>43551</formula>
    </cfRule>
  </conditionalFormatting>
  <conditionalFormatting sqref="BZ31:BZ32">
    <cfRule type="cellIs" dxfId="63" priority="160" operator="greaterThan">
      <formula>9999.99</formula>
    </cfRule>
    <cfRule type="cellIs" dxfId="62" priority="161" operator="greaterThan">
      <formula>10</formula>
    </cfRule>
  </conditionalFormatting>
  <conditionalFormatting sqref="BZ35">
    <cfRule type="cellIs" dxfId="61" priority="158" operator="greaterThan">
      <formula>9999.99</formula>
    </cfRule>
  </conditionalFormatting>
  <conditionalFormatting sqref="BZ35:BZ36">
    <cfRule type="cellIs" dxfId="60" priority="159" operator="greaterThan">
      <formula>10</formula>
    </cfRule>
  </conditionalFormatting>
  <conditionalFormatting sqref="CA11:CA15">
    <cfRule type="cellIs" dxfId="59" priority="76" operator="greaterThan">
      <formula>11000000</formula>
    </cfRule>
  </conditionalFormatting>
  <conditionalFormatting sqref="CA17:CA20">
    <cfRule type="cellIs" dxfId="58" priority="66" operator="greaterThan">
      <formula>11000000</formula>
    </cfRule>
  </conditionalFormatting>
  <conditionalFormatting sqref="CB17:CB20">
    <cfRule type="cellIs" dxfId="57" priority="65" operator="greaterThan">
      <formula>10</formula>
    </cfRule>
  </conditionalFormatting>
  <conditionalFormatting sqref="CB11:CC15">
    <cfRule type="cellIs" dxfId="56" priority="74" operator="greaterThan">
      <formula>10</formula>
    </cfRule>
  </conditionalFormatting>
  <conditionalFormatting sqref="CC11:CC15">
    <cfRule type="containsText" dxfId="55" priority="72" operator="containsText" text="s">
      <formula>NOT(ISERROR(SEARCH("s",CC11)))</formula>
    </cfRule>
    <cfRule type="containsText" dxfId="54" priority="73" operator="containsText" text="n">
      <formula>NOT(ISERROR(SEARCH("n",CC11)))</formula>
    </cfRule>
  </conditionalFormatting>
  <conditionalFormatting sqref="CC17:CC18">
    <cfRule type="cellIs" dxfId="53" priority="63" operator="greaterThan">
      <formula>10</formula>
    </cfRule>
  </conditionalFormatting>
  <conditionalFormatting sqref="CC17:CC20">
    <cfRule type="containsText" dxfId="52" priority="67" operator="containsText" text="s">
      <formula>NOT(ISERROR(SEARCH("s",CC17)))</formula>
    </cfRule>
    <cfRule type="containsText" dxfId="51" priority="68" operator="containsText" text="n">
      <formula>NOT(ISERROR(SEARCH("n",CC17)))</formula>
    </cfRule>
  </conditionalFormatting>
  <conditionalFormatting sqref="CD11:CD15">
    <cfRule type="cellIs" dxfId="50" priority="75" operator="greaterThan">
      <formula>4400000000</formula>
    </cfRule>
  </conditionalFormatting>
  <conditionalFormatting sqref="CD17:CD20">
    <cfRule type="cellIs" dxfId="49" priority="64" operator="greaterThan">
      <formula>4400000000</formula>
    </cfRule>
  </conditionalFormatting>
  <conditionalFormatting sqref="P7">
    <cfRule type="cellIs" dxfId="48" priority="10" operator="greaterThan">
      <formula>11000000</formula>
    </cfRule>
  </conditionalFormatting>
  <conditionalFormatting sqref="Q7">
    <cfRule type="cellIs" dxfId="47" priority="9" operator="greaterThan">
      <formula>10</formula>
    </cfRule>
  </conditionalFormatting>
  <conditionalFormatting sqref="BF14">
    <cfRule type="cellIs" dxfId="46" priority="8" operator="greaterThan">
      <formula>11000000</formula>
    </cfRule>
  </conditionalFormatting>
  <conditionalFormatting sqref="O6">
    <cfRule type="cellIs" dxfId="45" priority="6" operator="greaterThan">
      <formula>43551</formula>
    </cfRule>
  </conditionalFormatting>
  <conditionalFormatting sqref="N6">
    <cfRule type="cellIs" dxfId="44" priority="5" operator="greaterThan">
      <formula>100000000</formula>
    </cfRule>
  </conditionalFormatting>
  <conditionalFormatting sqref="P11:P15">
    <cfRule type="cellIs" dxfId="43" priority="4" operator="greaterThan">
      <formula>11000000</formula>
    </cfRule>
  </conditionalFormatting>
  <conditionalFormatting sqref="Q11:Q15">
    <cfRule type="cellIs" dxfId="42" priority="3" operator="greaterThan">
      <formula>10</formula>
    </cfRule>
  </conditionalFormatting>
  <conditionalFormatting sqref="P17">
    <cfRule type="cellIs" dxfId="41" priority="2" operator="greaterThan">
      <formula>11000000</formula>
    </cfRule>
  </conditionalFormatting>
  <conditionalFormatting sqref="Q17">
    <cfRule type="cellIs" dxfId="4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84CB-CBB6-4B50-9C5A-13C22617D35E}">
  <sheetPr codeName="Planilha6"/>
  <dimension ref="A1:L165"/>
  <sheetViews>
    <sheetView topLeftCell="C126" zoomScale="70" zoomScaleNormal="70" workbookViewId="0">
      <selection activeCell="F179" sqref="F179"/>
    </sheetView>
  </sheetViews>
  <sheetFormatPr defaultColWidth="9.140625" defaultRowHeight="15" x14ac:dyDescent="0.25"/>
  <cols>
    <col min="2" max="2" width="17.85546875" customWidth="1"/>
    <col min="3" max="3" width="22.140625" bestFit="1" customWidth="1"/>
    <col min="4" max="4" width="52.42578125" bestFit="1" customWidth="1"/>
    <col min="5" max="5" width="40.5703125" bestFit="1" customWidth="1"/>
    <col min="6" max="6" width="52.7109375" customWidth="1"/>
    <col min="7" max="7" width="28" style="258" customWidth="1"/>
    <col min="8" max="8" width="56.7109375" bestFit="1" customWidth="1"/>
    <col min="9" max="9" width="81.7109375" bestFit="1" customWidth="1"/>
    <col min="10" max="10" width="11.28515625" bestFit="1" customWidth="1"/>
    <col min="11" max="11" width="21.140625" bestFit="1" customWidth="1"/>
    <col min="12" max="12" width="13.5703125" bestFit="1" customWidth="1"/>
    <col min="13" max="13" width="9.28515625" bestFit="1" customWidth="1"/>
    <col min="15" max="16" width="9.28515625" bestFit="1" customWidth="1"/>
    <col min="18" max="18" width="9.28515625" bestFit="1" customWidth="1"/>
    <col min="20" max="20" width="9.28515625" bestFit="1" customWidth="1"/>
    <col min="22" max="23" width="9.28515625" bestFit="1" customWidth="1"/>
  </cols>
  <sheetData>
    <row r="1" spans="1:12" ht="15.75" thickBot="1" x14ac:dyDescent="0.3">
      <c r="B1" s="624" t="s">
        <v>211</v>
      </c>
      <c r="C1" s="624"/>
      <c r="D1" s="624"/>
      <c r="E1" s="624"/>
      <c r="F1" s="624"/>
      <c r="G1" s="624"/>
      <c r="H1" s="624"/>
      <c r="I1" s="624"/>
      <c r="J1" s="624"/>
      <c r="K1" s="624"/>
    </row>
    <row r="2" spans="1:12" ht="15.75" x14ac:dyDescent="0.25">
      <c r="A2" s="448"/>
      <c r="B2" s="642" t="s">
        <v>212</v>
      </c>
      <c r="C2" s="642"/>
      <c r="D2" s="642"/>
      <c r="E2" s="642"/>
      <c r="F2" s="642" t="s">
        <v>213</v>
      </c>
      <c r="G2" s="642"/>
      <c r="H2" s="642"/>
      <c r="I2" s="642"/>
      <c r="J2" s="642"/>
      <c r="K2" s="643"/>
    </row>
    <row r="3" spans="1:12" x14ac:dyDescent="0.25">
      <c r="A3" s="449"/>
      <c r="B3" s="288" t="s">
        <v>214</v>
      </c>
      <c r="C3" s="288" t="s">
        <v>174</v>
      </c>
      <c r="D3" s="288" t="s">
        <v>89</v>
      </c>
      <c r="E3" s="288" t="s">
        <v>173</v>
      </c>
      <c r="F3" s="288" t="s">
        <v>15</v>
      </c>
      <c r="G3" s="450" t="s">
        <v>92</v>
      </c>
      <c r="H3" s="288" t="s">
        <v>7</v>
      </c>
      <c r="I3" s="288" t="s">
        <v>178</v>
      </c>
      <c r="J3" s="288" t="s">
        <v>94</v>
      </c>
      <c r="K3" s="451" t="s">
        <v>95</v>
      </c>
    </row>
    <row r="4" spans="1:12" x14ac:dyDescent="0.25">
      <c r="A4" s="635">
        <v>2021</v>
      </c>
      <c r="B4" s="452" t="s">
        <v>215</v>
      </c>
      <c r="C4" s="453">
        <v>4516007</v>
      </c>
      <c r="D4" s="453">
        <v>1476</v>
      </c>
      <c r="E4" s="454" t="s">
        <v>216</v>
      </c>
      <c r="F4" s="90">
        <v>12079178</v>
      </c>
      <c r="G4" s="72">
        <v>77979.520000000004</v>
      </c>
      <c r="H4" s="90">
        <v>4500635184</v>
      </c>
      <c r="I4" s="90">
        <v>1000163853</v>
      </c>
      <c r="J4" s="128">
        <v>44392</v>
      </c>
      <c r="K4" s="94">
        <v>44392</v>
      </c>
    </row>
    <row r="5" spans="1:12" x14ac:dyDescent="0.25">
      <c r="A5" s="635"/>
      <c r="B5" s="452" t="s">
        <v>217</v>
      </c>
      <c r="C5" s="453">
        <v>4516007</v>
      </c>
      <c r="D5" s="453"/>
      <c r="E5" s="454" t="s">
        <v>218</v>
      </c>
      <c r="F5" s="90">
        <v>12079182</v>
      </c>
      <c r="G5" s="72">
        <v>5357.15</v>
      </c>
      <c r="H5" s="90">
        <v>4500635197</v>
      </c>
      <c r="I5" s="90">
        <v>1000164149</v>
      </c>
      <c r="J5" s="128">
        <v>44397</v>
      </c>
      <c r="K5" s="94">
        <v>44400</v>
      </c>
    </row>
    <row r="6" spans="1:12" x14ac:dyDescent="0.25">
      <c r="A6" s="635"/>
      <c r="B6" s="455" t="s">
        <v>219</v>
      </c>
      <c r="C6" s="453">
        <v>4516009</v>
      </c>
      <c r="D6" s="453">
        <v>1476</v>
      </c>
      <c r="E6" s="294" t="s">
        <v>220</v>
      </c>
      <c r="F6" s="90">
        <v>12084578</v>
      </c>
      <c r="G6" s="72">
        <v>4108.04</v>
      </c>
      <c r="H6" s="90">
        <v>4500635636</v>
      </c>
      <c r="I6" s="137">
        <v>1000163988</v>
      </c>
      <c r="J6" s="128">
        <v>44393</v>
      </c>
      <c r="K6" s="94">
        <v>44396</v>
      </c>
    </row>
    <row r="7" spans="1:12" x14ac:dyDescent="0.25">
      <c r="A7" s="635"/>
      <c r="B7" s="452" t="s">
        <v>221</v>
      </c>
      <c r="C7" s="453">
        <v>4516007</v>
      </c>
      <c r="D7" s="453">
        <v>1476</v>
      </c>
      <c r="E7" s="295" t="s">
        <v>222</v>
      </c>
      <c r="F7" s="90">
        <v>12084577</v>
      </c>
      <c r="G7" s="72">
        <v>5500</v>
      </c>
      <c r="H7" s="90">
        <v>4500636231</v>
      </c>
      <c r="I7" s="137">
        <v>1000163829</v>
      </c>
      <c r="J7" s="128">
        <v>44396</v>
      </c>
      <c r="K7" s="94">
        <v>44400</v>
      </c>
    </row>
    <row r="8" spans="1:12" x14ac:dyDescent="0.25">
      <c r="A8" s="635"/>
      <c r="B8" s="452" t="s">
        <v>223</v>
      </c>
      <c r="C8" s="453">
        <v>4516007</v>
      </c>
      <c r="D8" s="453">
        <v>1476</v>
      </c>
      <c r="E8" s="197" t="s">
        <v>223</v>
      </c>
      <c r="F8" s="90">
        <v>12112188</v>
      </c>
      <c r="G8" s="72">
        <v>3009.9</v>
      </c>
      <c r="H8" s="90">
        <v>4500635635</v>
      </c>
      <c r="I8" s="137">
        <v>1000164737</v>
      </c>
      <c r="J8" s="128">
        <v>44404</v>
      </c>
      <c r="K8" s="94">
        <v>44404</v>
      </c>
    </row>
    <row r="9" spans="1:12" x14ac:dyDescent="0.25">
      <c r="A9" s="635"/>
      <c r="B9" s="452" t="s">
        <v>224</v>
      </c>
      <c r="C9" s="453">
        <v>4516007</v>
      </c>
      <c r="D9" s="453">
        <v>1476</v>
      </c>
      <c r="E9" s="197" t="s">
        <v>225</v>
      </c>
      <c r="F9" s="90">
        <v>12050470</v>
      </c>
      <c r="G9" s="72">
        <v>3600</v>
      </c>
      <c r="H9" s="90">
        <v>4500633771</v>
      </c>
      <c r="I9" s="644" t="s">
        <v>226</v>
      </c>
      <c r="J9" s="644"/>
      <c r="K9" s="645"/>
    </row>
    <row r="10" spans="1:12" x14ac:dyDescent="0.25">
      <c r="A10" s="635"/>
      <c r="B10" s="452" t="s">
        <v>227</v>
      </c>
      <c r="C10" s="453"/>
      <c r="D10" s="453">
        <v>1476</v>
      </c>
      <c r="E10" s="197" t="s">
        <v>227</v>
      </c>
      <c r="F10" s="90">
        <v>12084662</v>
      </c>
      <c r="G10" s="72">
        <v>34567.51</v>
      </c>
      <c r="H10" s="90">
        <v>4500636203</v>
      </c>
      <c r="I10" s="137">
        <v>1000163987</v>
      </c>
      <c r="J10" s="128">
        <v>44393</v>
      </c>
      <c r="K10" s="94">
        <v>44396</v>
      </c>
    </row>
    <row r="11" spans="1:12" x14ac:dyDescent="0.25">
      <c r="A11" s="635"/>
      <c r="B11" s="452" t="s">
        <v>228</v>
      </c>
      <c r="C11" s="453">
        <v>4516007</v>
      </c>
      <c r="D11" s="453">
        <v>1476</v>
      </c>
      <c r="E11" s="197" t="s">
        <v>229</v>
      </c>
      <c r="F11" s="90">
        <v>12958332</v>
      </c>
      <c r="G11" s="72">
        <v>540</v>
      </c>
      <c r="H11" s="90">
        <v>4500628808</v>
      </c>
      <c r="I11" s="644" t="s">
        <v>226</v>
      </c>
      <c r="J11" s="644"/>
      <c r="K11" s="645"/>
    </row>
    <row r="12" spans="1:12" x14ac:dyDescent="0.25">
      <c r="A12" s="635"/>
      <c r="B12" s="452" t="s">
        <v>230</v>
      </c>
      <c r="C12" s="453">
        <v>4516007</v>
      </c>
      <c r="D12" s="453">
        <v>1476</v>
      </c>
      <c r="E12" s="197" t="s">
        <v>231</v>
      </c>
      <c r="F12" s="90">
        <v>12138673</v>
      </c>
      <c r="G12" s="72">
        <v>2934.18</v>
      </c>
      <c r="H12" s="90">
        <v>4500640149</v>
      </c>
      <c r="I12" s="137">
        <v>1000166300</v>
      </c>
      <c r="J12" s="128">
        <v>44432</v>
      </c>
      <c r="K12" s="94">
        <v>44432</v>
      </c>
    </row>
    <row r="13" spans="1:12" x14ac:dyDescent="0.25">
      <c r="A13" s="635"/>
      <c r="B13" s="452" t="s">
        <v>232</v>
      </c>
      <c r="C13" s="453">
        <v>4516009</v>
      </c>
      <c r="D13" s="453">
        <v>1476</v>
      </c>
      <c r="E13" s="197" t="s">
        <v>232</v>
      </c>
      <c r="F13" s="260">
        <v>12091679</v>
      </c>
      <c r="G13" s="72">
        <v>2994</v>
      </c>
      <c r="H13" s="260">
        <v>4500636298</v>
      </c>
      <c r="I13" s="137">
        <v>5000029306</v>
      </c>
      <c r="J13" s="128">
        <v>44393</v>
      </c>
      <c r="K13" s="186">
        <v>44404</v>
      </c>
    </row>
    <row r="14" spans="1:12" x14ac:dyDescent="0.25">
      <c r="A14" s="635"/>
      <c r="B14" s="452" t="s">
        <v>233</v>
      </c>
      <c r="C14" s="453">
        <v>4516007</v>
      </c>
      <c r="D14" s="453">
        <v>1476</v>
      </c>
      <c r="E14" s="197" t="s">
        <v>234</v>
      </c>
      <c r="F14" s="90">
        <v>12103954</v>
      </c>
      <c r="G14" s="72">
        <v>2151.88</v>
      </c>
      <c r="H14" s="90">
        <v>4500637623</v>
      </c>
      <c r="I14" s="646" t="s">
        <v>235</v>
      </c>
      <c r="J14" s="646"/>
      <c r="K14" s="646"/>
    </row>
    <row r="15" spans="1:12" x14ac:dyDescent="0.25">
      <c r="A15" s="635"/>
      <c r="B15" s="452"/>
      <c r="C15" s="453"/>
      <c r="D15" s="453"/>
      <c r="E15" s="197" t="s">
        <v>236</v>
      </c>
      <c r="F15" s="90">
        <v>12156712</v>
      </c>
      <c r="G15" s="72">
        <v>4174.21</v>
      </c>
      <c r="H15" s="90">
        <v>4500642714</v>
      </c>
      <c r="I15" s="456"/>
      <c r="J15" s="456"/>
      <c r="K15" s="456"/>
    </row>
    <row r="16" spans="1:12" x14ac:dyDescent="0.25">
      <c r="A16" s="635"/>
      <c r="B16" s="452" t="s">
        <v>237</v>
      </c>
      <c r="C16" s="453">
        <v>4516007</v>
      </c>
      <c r="D16" s="453">
        <v>1476</v>
      </c>
      <c r="E16" s="197" t="s">
        <v>237</v>
      </c>
      <c r="F16" s="90">
        <v>12138626</v>
      </c>
      <c r="G16" s="72">
        <v>24575.759999999998</v>
      </c>
      <c r="H16" s="90">
        <v>4500639975</v>
      </c>
      <c r="I16" s="137">
        <v>1000166299</v>
      </c>
      <c r="J16" s="128">
        <v>44432</v>
      </c>
      <c r="K16" s="186">
        <v>44432</v>
      </c>
      <c r="L16" t="s">
        <v>238</v>
      </c>
    </row>
    <row r="17" spans="1:11" x14ac:dyDescent="0.25">
      <c r="A17" s="635"/>
      <c r="B17" s="452" t="s">
        <v>239</v>
      </c>
      <c r="C17" s="453">
        <v>4516007</v>
      </c>
      <c r="D17" s="453">
        <v>1476</v>
      </c>
      <c r="E17" s="197" t="s">
        <v>239</v>
      </c>
      <c r="F17" s="90">
        <v>12135636</v>
      </c>
      <c r="G17" s="72">
        <v>31940.18</v>
      </c>
      <c r="H17" s="90">
        <v>4500639973</v>
      </c>
      <c r="I17" s="137">
        <v>1000166298</v>
      </c>
      <c r="J17" s="128">
        <v>44432</v>
      </c>
      <c r="K17" s="186">
        <v>44432</v>
      </c>
    </row>
    <row r="18" spans="1:11" x14ac:dyDescent="0.25">
      <c r="A18" s="635"/>
      <c r="B18" s="452" t="s">
        <v>240</v>
      </c>
      <c r="C18" s="453">
        <v>4516007</v>
      </c>
      <c r="D18" s="453">
        <v>1476</v>
      </c>
      <c r="E18" s="197" t="s">
        <v>240</v>
      </c>
      <c r="F18" s="90">
        <v>12112228</v>
      </c>
      <c r="G18" s="72">
        <v>1870.23</v>
      </c>
      <c r="H18" s="90">
        <v>4500637740</v>
      </c>
      <c r="I18" s="646" t="s">
        <v>235</v>
      </c>
      <c r="J18" s="646"/>
      <c r="K18" s="646"/>
    </row>
    <row r="19" spans="1:11" ht="16.5" x14ac:dyDescent="0.25">
      <c r="A19" s="635"/>
      <c r="B19" s="452" t="s">
        <v>241</v>
      </c>
      <c r="C19" s="453">
        <v>4516007</v>
      </c>
      <c r="D19" s="453">
        <v>1476</v>
      </c>
      <c r="E19" s="457" t="s">
        <v>241</v>
      </c>
      <c r="F19" s="90">
        <v>12166052</v>
      </c>
      <c r="G19" s="72">
        <v>51886.66</v>
      </c>
      <c r="H19" s="90">
        <v>4500639675</v>
      </c>
      <c r="I19" s="137">
        <v>1000167599</v>
      </c>
      <c r="J19" s="458">
        <v>44459</v>
      </c>
      <c r="K19" s="458">
        <v>44460</v>
      </c>
    </row>
    <row r="20" spans="1:11" ht="16.5" x14ac:dyDescent="0.25">
      <c r="A20" s="635"/>
      <c r="B20" s="1"/>
      <c r="C20" s="459">
        <v>4516007</v>
      </c>
      <c r="D20" s="453">
        <v>1476</v>
      </c>
      <c r="E20" s="457" t="s">
        <v>242</v>
      </c>
      <c r="F20" s="260">
        <v>12135647</v>
      </c>
      <c r="G20" s="460">
        <v>5563</v>
      </c>
      <c r="H20" s="461">
        <v>4500639868</v>
      </c>
      <c r="I20" s="260" t="s">
        <v>243</v>
      </c>
      <c r="J20" s="458">
        <v>44433</v>
      </c>
      <c r="K20" s="458">
        <v>44433</v>
      </c>
    </row>
    <row r="21" spans="1:11" ht="16.5" x14ac:dyDescent="0.25">
      <c r="A21" s="635"/>
      <c r="B21" s="1"/>
      <c r="C21" s="459">
        <v>4516007</v>
      </c>
      <c r="D21" s="453">
        <v>1476</v>
      </c>
      <c r="E21" s="457" t="s">
        <v>244</v>
      </c>
      <c r="F21" s="90">
        <v>12193451</v>
      </c>
      <c r="G21" s="72">
        <v>437.4</v>
      </c>
      <c r="H21" s="90">
        <v>4500645252</v>
      </c>
      <c r="I21" s="90">
        <v>5000045027</v>
      </c>
      <c r="J21" s="128">
        <v>44496</v>
      </c>
      <c r="K21" s="128">
        <v>44496</v>
      </c>
    </row>
    <row r="22" spans="1:11" ht="16.5" x14ac:dyDescent="0.25">
      <c r="A22" s="635"/>
      <c r="B22" s="1"/>
      <c r="C22" s="459">
        <v>4516007</v>
      </c>
      <c r="D22" s="453">
        <v>1476</v>
      </c>
      <c r="E22" s="457" t="s">
        <v>245</v>
      </c>
      <c r="F22" s="90">
        <v>12178364</v>
      </c>
      <c r="G22" s="72">
        <v>391.81</v>
      </c>
      <c r="H22" s="90">
        <v>4500643299</v>
      </c>
      <c r="I22" s="90">
        <v>5000041666</v>
      </c>
      <c r="J22" s="128">
        <v>44490</v>
      </c>
      <c r="K22" s="128">
        <v>44490</v>
      </c>
    </row>
    <row r="23" spans="1:11" ht="16.5" x14ac:dyDescent="0.25">
      <c r="A23" s="635"/>
      <c r="B23" s="1"/>
      <c r="C23" s="459">
        <v>4516007</v>
      </c>
      <c r="D23" s="453">
        <v>1476</v>
      </c>
      <c r="E23" s="457" t="s">
        <v>246</v>
      </c>
      <c r="F23" s="90">
        <v>12175901</v>
      </c>
      <c r="G23" s="72">
        <v>975</v>
      </c>
      <c r="H23" s="90">
        <v>4500643276</v>
      </c>
      <c r="I23" s="90" t="s">
        <v>247</v>
      </c>
      <c r="J23" s="128">
        <v>44490</v>
      </c>
      <c r="K23" s="128">
        <v>44490</v>
      </c>
    </row>
    <row r="24" spans="1:11" ht="16.5" x14ac:dyDescent="0.25">
      <c r="A24" s="635"/>
      <c r="B24" s="1"/>
      <c r="C24" s="459">
        <v>4516005</v>
      </c>
      <c r="D24" s="453">
        <v>1476</v>
      </c>
      <c r="E24" s="457" t="s">
        <v>248</v>
      </c>
      <c r="F24" s="90">
        <v>12226262</v>
      </c>
      <c r="G24" s="72">
        <v>4480</v>
      </c>
      <c r="H24" s="90">
        <v>4500648434</v>
      </c>
      <c r="I24" s="137">
        <v>1000171389</v>
      </c>
      <c r="J24" s="128">
        <v>44533</v>
      </c>
      <c r="K24" s="128">
        <v>44543</v>
      </c>
    </row>
    <row r="25" spans="1:11" ht="16.5" x14ac:dyDescent="0.25">
      <c r="A25" s="635"/>
      <c r="B25" s="1"/>
      <c r="C25" s="459">
        <v>4516007</v>
      </c>
      <c r="D25" s="453">
        <v>1476</v>
      </c>
      <c r="E25" s="457" t="s">
        <v>249</v>
      </c>
      <c r="F25" s="90">
        <v>12228551</v>
      </c>
      <c r="G25" s="72">
        <v>1815</v>
      </c>
      <c r="H25" s="90">
        <v>4500648693</v>
      </c>
      <c r="I25" s="90">
        <v>1000172078</v>
      </c>
      <c r="J25" s="128">
        <v>44547</v>
      </c>
      <c r="K25" s="128">
        <v>44547</v>
      </c>
    </row>
    <row r="26" spans="1:11" ht="16.5" x14ac:dyDescent="0.25">
      <c r="A26" s="635"/>
      <c r="B26" s="1"/>
      <c r="C26" s="459">
        <v>4516007</v>
      </c>
      <c r="D26" s="453">
        <v>1476</v>
      </c>
      <c r="E26" s="457" t="s">
        <v>250</v>
      </c>
      <c r="F26" s="90" t="s">
        <v>251</v>
      </c>
      <c r="G26" s="72">
        <v>6792</v>
      </c>
      <c r="H26" s="90">
        <v>4500648904</v>
      </c>
      <c r="I26" s="90">
        <v>5000053501</v>
      </c>
      <c r="J26" s="128">
        <v>44558</v>
      </c>
      <c r="K26" s="128">
        <v>44558</v>
      </c>
    </row>
    <row r="27" spans="1:11" ht="16.5" x14ac:dyDescent="0.25">
      <c r="A27" s="635"/>
      <c r="B27" s="1"/>
      <c r="C27" s="459">
        <v>4516007</v>
      </c>
      <c r="D27" s="453">
        <v>1476</v>
      </c>
      <c r="E27" s="457" t="s">
        <v>252</v>
      </c>
      <c r="F27" s="90">
        <v>12229639</v>
      </c>
      <c r="G27" s="72">
        <v>2243.75</v>
      </c>
      <c r="H27" s="90">
        <v>4500648900</v>
      </c>
      <c r="I27" s="90">
        <v>1000172768</v>
      </c>
      <c r="J27" s="128">
        <v>44567</v>
      </c>
      <c r="K27" s="128">
        <v>44572</v>
      </c>
    </row>
    <row r="28" spans="1:11" ht="16.5" x14ac:dyDescent="0.25">
      <c r="A28" s="635"/>
      <c r="B28" s="1"/>
      <c r="C28" s="459">
        <v>4516009</v>
      </c>
      <c r="D28" s="453">
        <v>1476</v>
      </c>
      <c r="E28" s="457" t="s">
        <v>253</v>
      </c>
      <c r="F28" s="90">
        <v>12229961</v>
      </c>
      <c r="G28" s="72">
        <v>107668.22</v>
      </c>
      <c r="H28" s="90">
        <v>4500648905</v>
      </c>
      <c r="I28" s="462" t="s">
        <v>254</v>
      </c>
      <c r="J28" s="128">
        <v>44547</v>
      </c>
      <c r="K28" s="128">
        <v>44551</v>
      </c>
    </row>
    <row r="29" spans="1:11" ht="16.5" x14ac:dyDescent="0.25">
      <c r="A29" s="635"/>
      <c r="B29" s="1"/>
      <c r="C29" s="459">
        <v>4516007</v>
      </c>
      <c r="D29" s="453">
        <v>1475</v>
      </c>
      <c r="E29" s="457" t="s">
        <v>255</v>
      </c>
      <c r="F29" s="90">
        <v>12228542</v>
      </c>
      <c r="G29" s="72">
        <v>168537.60000000001</v>
      </c>
      <c r="H29" s="90">
        <v>4500648713</v>
      </c>
      <c r="I29" s="90">
        <v>1000171400</v>
      </c>
      <c r="J29" s="128">
        <v>44536</v>
      </c>
      <c r="K29" s="128">
        <v>44537</v>
      </c>
    </row>
    <row r="30" spans="1:11" ht="16.5" x14ac:dyDescent="0.25">
      <c r="A30" s="635"/>
      <c r="B30" s="1"/>
      <c r="C30" s="459">
        <v>4516007</v>
      </c>
      <c r="D30" s="453">
        <v>1476</v>
      </c>
      <c r="E30" s="457" t="s">
        <v>249</v>
      </c>
      <c r="F30" s="90">
        <v>12236615</v>
      </c>
      <c r="G30" s="72">
        <v>544.53</v>
      </c>
      <c r="H30" s="90">
        <v>4500649597</v>
      </c>
      <c r="I30" s="90">
        <v>1000173120</v>
      </c>
      <c r="J30" s="128">
        <v>44574</v>
      </c>
      <c r="K30" s="128">
        <v>44574</v>
      </c>
    </row>
    <row r="31" spans="1:11" ht="16.5" x14ac:dyDescent="0.25">
      <c r="A31" s="635"/>
      <c r="B31" s="1"/>
      <c r="C31" s="459"/>
      <c r="D31" s="453" t="s">
        <v>256</v>
      </c>
      <c r="E31" s="457" t="s">
        <v>257</v>
      </c>
      <c r="F31" s="90">
        <v>12237858</v>
      </c>
      <c r="G31" s="72">
        <v>43132</v>
      </c>
      <c r="H31" s="90">
        <v>4500650052</v>
      </c>
      <c r="I31" s="90">
        <v>5000002117</v>
      </c>
      <c r="J31" s="128">
        <v>44579</v>
      </c>
      <c r="K31" s="128">
        <v>44579</v>
      </c>
    </row>
    <row r="32" spans="1:11" ht="16.5" x14ac:dyDescent="0.25">
      <c r="A32" s="635"/>
      <c r="B32" s="1"/>
      <c r="C32" s="1"/>
      <c r="D32" s="453" t="s">
        <v>256</v>
      </c>
      <c r="E32" s="457" t="s">
        <v>258</v>
      </c>
      <c r="F32" s="90">
        <v>12202777</v>
      </c>
      <c r="G32" s="72">
        <v>700000</v>
      </c>
      <c r="H32" s="90">
        <v>4500647527</v>
      </c>
      <c r="I32" s="637" t="s">
        <v>259</v>
      </c>
      <c r="J32" s="638"/>
      <c r="K32" s="639"/>
    </row>
    <row r="33" spans="1:11" ht="16.5" x14ac:dyDescent="0.25">
      <c r="A33" s="635"/>
      <c r="B33" s="1"/>
      <c r="C33" s="459">
        <v>4516005</v>
      </c>
      <c r="D33" s="453">
        <v>1476</v>
      </c>
      <c r="E33" s="457" t="s">
        <v>260</v>
      </c>
      <c r="F33" s="90">
        <v>12247874</v>
      </c>
      <c r="G33" s="72">
        <v>58893.120000000003</v>
      </c>
      <c r="H33" s="90">
        <v>4500650677</v>
      </c>
      <c r="I33" s="90">
        <v>1000173295</v>
      </c>
      <c r="J33" s="128">
        <v>44579</v>
      </c>
      <c r="K33" s="128">
        <v>44580</v>
      </c>
    </row>
    <row r="34" spans="1:11" ht="15.75" thickBot="1" x14ac:dyDescent="0.3">
      <c r="A34" s="636"/>
      <c r="B34" s="1"/>
      <c r="C34" s="453">
        <v>4516009</v>
      </c>
      <c r="D34" s="453">
        <v>1476</v>
      </c>
      <c r="E34" s="294" t="s">
        <v>220</v>
      </c>
      <c r="F34" s="90">
        <v>12247957</v>
      </c>
      <c r="G34" s="72">
        <v>13955.88</v>
      </c>
      <c r="H34" s="90">
        <v>4500650807</v>
      </c>
      <c r="I34" s="137" t="s">
        <v>261</v>
      </c>
      <c r="J34" s="128">
        <v>44588</v>
      </c>
      <c r="K34" s="128">
        <v>44588</v>
      </c>
    </row>
    <row r="35" spans="1:11" x14ac:dyDescent="0.25">
      <c r="A35" s="635">
        <v>2022</v>
      </c>
      <c r="B35" s="1"/>
      <c r="C35" s="453">
        <v>4516002</v>
      </c>
      <c r="D35" s="453">
        <v>1476</v>
      </c>
      <c r="E35" s="294" t="s">
        <v>262</v>
      </c>
      <c r="F35" s="90">
        <v>12269500</v>
      </c>
      <c r="G35" s="72">
        <v>236.77</v>
      </c>
      <c r="H35" s="90">
        <v>4500652808</v>
      </c>
      <c r="I35" s="137">
        <v>1000173469</v>
      </c>
      <c r="J35" s="128">
        <v>44581</v>
      </c>
      <c r="K35" s="186">
        <v>44581</v>
      </c>
    </row>
    <row r="36" spans="1:11" x14ac:dyDescent="0.25">
      <c r="A36" s="635"/>
      <c r="B36" s="1"/>
      <c r="C36" s="453">
        <v>4516002</v>
      </c>
      <c r="D36" s="453">
        <v>1040</v>
      </c>
      <c r="E36" s="294" t="s">
        <v>263</v>
      </c>
      <c r="F36" s="90">
        <v>12386237</v>
      </c>
      <c r="G36" s="72">
        <v>1428.15</v>
      </c>
      <c r="H36" s="90">
        <v>4500665406</v>
      </c>
      <c r="I36" s="137">
        <v>1000180025</v>
      </c>
      <c r="J36" s="128">
        <v>44740</v>
      </c>
      <c r="K36" s="186">
        <v>44740</v>
      </c>
    </row>
    <row r="37" spans="1:11" x14ac:dyDescent="0.25">
      <c r="A37" s="635"/>
      <c r="B37" s="1"/>
      <c r="C37" s="453">
        <v>4516009</v>
      </c>
      <c r="D37" s="453">
        <v>1476</v>
      </c>
      <c r="E37" s="294" t="s">
        <v>264</v>
      </c>
      <c r="F37" s="90">
        <v>12348864</v>
      </c>
      <c r="G37" s="72">
        <v>9998.7999999999993</v>
      </c>
      <c r="H37" s="90">
        <v>4500661397</v>
      </c>
      <c r="I37" s="137">
        <v>1000179277</v>
      </c>
      <c r="J37" s="128">
        <v>44711</v>
      </c>
      <c r="K37" s="186">
        <v>44711</v>
      </c>
    </row>
    <row r="38" spans="1:11" x14ac:dyDescent="0.25">
      <c r="A38" s="635"/>
      <c r="B38" s="1"/>
      <c r="C38" s="453">
        <v>4516007</v>
      </c>
      <c r="D38" s="453">
        <v>1476</v>
      </c>
      <c r="E38" s="294" t="s">
        <v>222</v>
      </c>
      <c r="F38" s="90">
        <v>12380001</v>
      </c>
      <c r="G38" s="72">
        <v>5200</v>
      </c>
      <c r="H38" s="90">
        <v>4500665348</v>
      </c>
      <c r="I38" s="137">
        <v>1000180474</v>
      </c>
      <c r="J38" s="128">
        <v>44739</v>
      </c>
      <c r="K38" s="186">
        <v>44711</v>
      </c>
    </row>
    <row r="39" spans="1:11" x14ac:dyDescent="0.25">
      <c r="A39" s="635"/>
      <c r="B39" s="1"/>
      <c r="C39" s="453">
        <v>4516009</v>
      </c>
      <c r="D39" s="453">
        <v>1476</v>
      </c>
      <c r="E39" s="294" t="s">
        <v>265</v>
      </c>
      <c r="F39" s="90">
        <v>12379621</v>
      </c>
      <c r="G39" s="72">
        <v>2986</v>
      </c>
      <c r="H39" s="90">
        <v>4500664553</v>
      </c>
      <c r="I39" s="137">
        <v>5000025879</v>
      </c>
      <c r="J39" s="128">
        <v>44748</v>
      </c>
      <c r="K39" s="186">
        <v>44754</v>
      </c>
    </row>
    <row r="40" spans="1:11" x14ac:dyDescent="0.25">
      <c r="A40" s="635"/>
      <c r="B40" s="1"/>
      <c r="C40" s="453"/>
      <c r="D40" s="453"/>
      <c r="E40" s="294" t="s">
        <v>266</v>
      </c>
      <c r="F40" s="90">
        <v>12387473</v>
      </c>
      <c r="G40" s="72">
        <v>1600</v>
      </c>
      <c r="H40" s="90">
        <v>4500665957</v>
      </c>
      <c r="I40" s="630" t="s">
        <v>267</v>
      </c>
      <c r="J40" s="630"/>
      <c r="K40" s="630"/>
    </row>
    <row r="41" spans="1:11" x14ac:dyDescent="0.25">
      <c r="A41" s="635"/>
      <c r="B41" s="1"/>
      <c r="C41" s="453">
        <v>4516009</v>
      </c>
      <c r="D41" s="453">
        <v>1470</v>
      </c>
      <c r="E41" s="294" t="s">
        <v>268</v>
      </c>
      <c r="F41" s="90">
        <v>12383024</v>
      </c>
      <c r="G41" s="72">
        <v>797</v>
      </c>
      <c r="H41" s="90">
        <v>4500665094</v>
      </c>
      <c r="I41" s="137">
        <v>5000025115</v>
      </c>
      <c r="J41" s="128">
        <v>44741</v>
      </c>
      <c r="K41" s="186">
        <v>44742</v>
      </c>
    </row>
    <row r="42" spans="1:11" x14ac:dyDescent="0.25">
      <c r="A42" s="635"/>
      <c r="B42" s="1"/>
      <c r="C42" s="453">
        <v>4516007</v>
      </c>
      <c r="D42" s="453" t="s">
        <v>269</v>
      </c>
      <c r="E42" s="294" t="s">
        <v>270</v>
      </c>
      <c r="F42" s="90">
        <v>12413121</v>
      </c>
      <c r="G42" s="72">
        <v>42774.83</v>
      </c>
      <c r="H42" s="90">
        <v>4500667507</v>
      </c>
      <c r="I42" s="137">
        <v>1000181935</v>
      </c>
      <c r="J42" s="128">
        <v>44737</v>
      </c>
      <c r="K42" s="186">
        <v>44738</v>
      </c>
    </row>
    <row r="43" spans="1:11" x14ac:dyDescent="0.25">
      <c r="A43" s="635"/>
      <c r="B43" s="1"/>
      <c r="C43" s="453">
        <v>4516007</v>
      </c>
      <c r="D43" s="459">
        <v>6441</v>
      </c>
      <c r="E43" s="294" t="s">
        <v>271</v>
      </c>
      <c r="F43" s="90">
        <v>12413081</v>
      </c>
      <c r="G43" s="72">
        <v>10672.63</v>
      </c>
      <c r="H43" s="90">
        <v>4500667502</v>
      </c>
      <c r="I43" s="137">
        <v>1000181867</v>
      </c>
      <c r="J43" s="128">
        <v>44764</v>
      </c>
      <c r="K43" s="186">
        <v>44768</v>
      </c>
    </row>
    <row r="44" spans="1:11" x14ac:dyDescent="0.25">
      <c r="A44" s="635"/>
      <c r="B44" s="1"/>
      <c r="C44" s="459">
        <v>4516009</v>
      </c>
      <c r="D44" s="459">
        <v>1476</v>
      </c>
      <c r="E44" s="294" t="s">
        <v>227</v>
      </c>
      <c r="F44" s="90">
        <v>12428672</v>
      </c>
      <c r="G44" s="72">
        <v>32791.21</v>
      </c>
      <c r="H44" s="90">
        <v>4500669538</v>
      </c>
      <c r="I44" s="137">
        <v>1000182513</v>
      </c>
      <c r="J44" s="128">
        <v>44783</v>
      </c>
      <c r="K44" s="186">
        <v>44784</v>
      </c>
    </row>
    <row r="45" spans="1:11" x14ac:dyDescent="0.25">
      <c r="A45" s="635"/>
      <c r="B45" s="1"/>
      <c r="C45" s="453"/>
      <c r="D45" s="459"/>
      <c r="E45" s="294" t="s">
        <v>272</v>
      </c>
      <c r="F45" s="90">
        <v>12428673</v>
      </c>
      <c r="G45" s="72">
        <v>6048.96</v>
      </c>
      <c r="H45" s="90">
        <v>4500668792</v>
      </c>
      <c r="I45" s="137">
        <v>1000181797</v>
      </c>
      <c r="J45" s="128">
        <v>44762</v>
      </c>
      <c r="K45" s="186">
        <v>44764</v>
      </c>
    </row>
    <row r="46" spans="1:11" x14ac:dyDescent="0.25">
      <c r="A46" s="635"/>
      <c r="B46" s="1"/>
      <c r="C46" s="453">
        <v>4516007</v>
      </c>
      <c r="D46" s="459" t="s">
        <v>273</v>
      </c>
      <c r="E46" s="294" t="s">
        <v>223</v>
      </c>
      <c r="F46" s="90">
        <v>12437185</v>
      </c>
      <c r="G46" s="72">
        <v>604.08000000000004</v>
      </c>
      <c r="H46" s="90">
        <v>4500669561</v>
      </c>
      <c r="I46" s="90">
        <v>1000183146</v>
      </c>
      <c r="J46" s="186">
        <v>44790</v>
      </c>
      <c r="K46" s="186">
        <v>44790</v>
      </c>
    </row>
    <row r="47" spans="1:11" x14ac:dyDescent="0.25">
      <c r="A47" s="635"/>
      <c r="B47" s="1"/>
      <c r="C47" s="459">
        <v>4516009</v>
      </c>
      <c r="D47" s="459">
        <v>1476</v>
      </c>
      <c r="E47" s="260" t="s">
        <v>274</v>
      </c>
      <c r="F47" s="96" t="s">
        <v>275</v>
      </c>
      <c r="G47" s="72">
        <v>6343.01</v>
      </c>
      <c r="H47" s="90">
        <v>4500670788</v>
      </c>
      <c r="I47" s="90">
        <v>1000184229</v>
      </c>
      <c r="J47" s="186">
        <v>44819</v>
      </c>
      <c r="K47" s="186">
        <v>44820</v>
      </c>
    </row>
    <row r="48" spans="1:11" x14ac:dyDescent="0.25">
      <c r="A48" s="635"/>
      <c r="B48" s="1"/>
      <c r="C48" s="459">
        <v>4516009</v>
      </c>
      <c r="D48" s="459">
        <v>1476</v>
      </c>
      <c r="E48" s="260" t="s">
        <v>276</v>
      </c>
      <c r="F48" s="96">
        <v>12490975</v>
      </c>
      <c r="G48" s="72">
        <v>1820</v>
      </c>
      <c r="H48" s="90" t="s">
        <v>277</v>
      </c>
      <c r="I48" s="637" t="s">
        <v>277</v>
      </c>
      <c r="J48" s="638"/>
      <c r="K48" s="639"/>
    </row>
    <row r="49" spans="1:11" x14ac:dyDescent="0.25">
      <c r="A49" s="635"/>
      <c r="B49" s="1"/>
      <c r="C49" s="459">
        <v>4516007</v>
      </c>
      <c r="D49" s="459">
        <v>1476</v>
      </c>
      <c r="E49" s="260" t="s">
        <v>278</v>
      </c>
      <c r="F49" s="96" t="s">
        <v>279</v>
      </c>
      <c r="G49" s="72">
        <v>52807.24</v>
      </c>
      <c r="H49" s="90" t="s">
        <v>280</v>
      </c>
      <c r="I49" s="461" t="s">
        <v>281</v>
      </c>
      <c r="J49" s="186">
        <v>44796</v>
      </c>
      <c r="K49" s="186">
        <v>44797</v>
      </c>
    </row>
    <row r="50" spans="1:11" hidden="1" x14ac:dyDescent="0.25">
      <c r="A50" s="635"/>
      <c r="B50" s="1"/>
      <c r="C50" s="459"/>
      <c r="D50" s="459"/>
      <c r="E50" s="260" t="s">
        <v>282</v>
      </c>
      <c r="F50" s="260"/>
      <c r="G50" s="267"/>
      <c r="H50" s="90">
        <v>4500667524</v>
      </c>
      <c r="I50" s="461">
        <v>1000183444</v>
      </c>
      <c r="J50" s="186"/>
      <c r="K50" s="186"/>
    </row>
    <row r="51" spans="1:11" x14ac:dyDescent="0.25">
      <c r="A51" s="635"/>
      <c r="B51" s="1"/>
      <c r="C51" s="459">
        <v>4516009</v>
      </c>
      <c r="D51" s="459">
        <v>1476</v>
      </c>
      <c r="E51" s="260" t="s">
        <v>283</v>
      </c>
      <c r="F51" s="461">
        <v>12480074</v>
      </c>
      <c r="G51" s="460">
        <v>49773.5</v>
      </c>
      <c r="H51" s="461">
        <v>4500672887</v>
      </c>
      <c r="I51" s="461"/>
      <c r="J51" s="186"/>
      <c r="K51" s="186">
        <v>45192</v>
      </c>
    </row>
    <row r="52" spans="1:11" x14ac:dyDescent="0.25">
      <c r="A52" s="635"/>
      <c r="B52" s="1"/>
      <c r="C52" s="459">
        <v>4501007</v>
      </c>
      <c r="D52" s="459">
        <v>1471</v>
      </c>
      <c r="E52" s="260" t="s">
        <v>284</v>
      </c>
      <c r="F52" s="461">
        <v>12508834</v>
      </c>
      <c r="G52" s="72">
        <v>457</v>
      </c>
      <c r="H52" s="90">
        <v>4500675022</v>
      </c>
      <c r="I52" s="90">
        <v>5000041129</v>
      </c>
      <c r="J52" s="186"/>
      <c r="K52" s="186">
        <v>44858</v>
      </c>
    </row>
    <row r="53" spans="1:11" x14ac:dyDescent="0.25">
      <c r="A53" s="635"/>
      <c r="B53" s="463"/>
      <c r="C53" s="459">
        <v>4516007</v>
      </c>
      <c r="D53" s="459">
        <v>1476</v>
      </c>
      <c r="E53" s="260" t="s">
        <v>237</v>
      </c>
      <c r="F53" s="96" t="s">
        <v>285</v>
      </c>
      <c r="G53" s="72">
        <v>27989.68</v>
      </c>
      <c r="H53" s="90">
        <v>4500674893</v>
      </c>
      <c r="I53" s="90">
        <v>1000184676</v>
      </c>
      <c r="J53" s="186">
        <v>44824</v>
      </c>
      <c r="K53" s="186">
        <v>44826</v>
      </c>
    </row>
    <row r="54" spans="1:11" x14ac:dyDescent="0.25">
      <c r="A54" s="635"/>
      <c r="B54" s="1"/>
      <c r="C54" s="459">
        <v>4516009</v>
      </c>
      <c r="D54" s="459">
        <v>1476</v>
      </c>
      <c r="E54" s="260" t="s">
        <v>253</v>
      </c>
      <c r="F54" s="461">
        <v>12508824</v>
      </c>
      <c r="G54" s="72">
        <v>10425.68</v>
      </c>
      <c r="H54" s="90">
        <v>4500674875</v>
      </c>
      <c r="I54" s="90">
        <v>1000184671</v>
      </c>
      <c r="J54" s="186">
        <v>44824</v>
      </c>
      <c r="K54" s="186">
        <v>44826</v>
      </c>
    </row>
    <row r="55" spans="1:11" x14ac:dyDescent="0.25">
      <c r="A55" s="635"/>
      <c r="B55" s="1"/>
      <c r="C55" s="459">
        <v>4516007</v>
      </c>
      <c r="D55" s="459">
        <v>1476</v>
      </c>
      <c r="E55" s="260" t="s">
        <v>286</v>
      </c>
      <c r="F55" s="461">
        <v>12507950</v>
      </c>
      <c r="G55" s="72">
        <v>90956.25</v>
      </c>
      <c r="H55" s="90">
        <v>4500675594</v>
      </c>
      <c r="I55" s="90">
        <v>1000186148</v>
      </c>
      <c r="J55" s="186">
        <v>44861</v>
      </c>
      <c r="K55" s="186">
        <v>44861</v>
      </c>
    </row>
    <row r="56" spans="1:11" x14ac:dyDescent="0.25">
      <c r="A56" s="635"/>
      <c r="B56" s="1"/>
      <c r="C56" s="459">
        <v>4516009</v>
      </c>
      <c r="D56" s="459">
        <v>1476</v>
      </c>
      <c r="E56" s="260" t="s">
        <v>287</v>
      </c>
      <c r="F56" s="461">
        <v>12507411</v>
      </c>
      <c r="G56" s="72">
        <v>4800</v>
      </c>
      <c r="H56" s="90">
        <v>4500674861</v>
      </c>
      <c r="I56" s="90">
        <v>1000184677</v>
      </c>
      <c r="J56" s="186">
        <v>44824</v>
      </c>
      <c r="K56" s="186">
        <v>44825</v>
      </c>
    </row>
    <row r="57" spans="1:11" x14ac:dyDescent="0.25">
      <c r="A57" s="635"/>
      <c r="B57" s="1"/>
      <c r="C57" s="459">
        <v>4508010</v>
      </c>
      <c r="D57" s="459">
        <v>1476</v>
      </c>
      <c r="E57" s="260" t="s">
        <v>288</v>
      </c>
      <c r="F57" s="461">
        <v>12483016</v>
      </c>
      <c r="G57" s="72">
        <v>5304.34</v>
      </c>
      <c r="H57" s="90">
        <v>4500673237</v>
      </c>
      <c r="I57" s="90">
        <v>5000036136</v>
      </c>
      <c r="J57" s="186">
        <v>44824</v>
      </c>
      <c r="K57" s="186">
        <v>44825</v>
      </c>
    </row>
    <row r="58" spans="1:11" x14ac:dyDescent="0.25">
      <c r="A58" s="635"/>
      <c r="B58" s="1"/>
      <c r="C58" s="1"/>
      <c r="D58" s="464"/>
      <c r="E58" s="260" t="s">
        <v>289</v>
      </c>
      <c r="F58" s="461">
        <v>12509098</v>
      </c>
      <c r="G58" s="72">
        <v>1005</v>
      </c>
      <c r="H58" s="90">
        <v>4500675128</v>
      </c>
      <c r="I58" s="90">
        <v>5000041970</v>
      </c>
      <c r="J58" s="186">
        <v>44865</v>
      </c>
      <c r="K58" s="186">
        <v>44865</v>
      </c>
    </row>
    <row r="59" spans="1:11" x14ac:dyDescent="0.25">
      <c r="A59" s="635"/>
      <c r="B59" s="1"/>
      <c r="C59" s="1"/>
      <c r="D59" s="459">
        <v>1476</v>
      </c>
      <c r="E59" s="260" t="s">
        <v>290</v>
      </c>
      <c r="F59" s="461">
        <v>12509666</v>
      </c>
      <c r="G59" s="72">
        <v>1481</v>
      </c>
      <c r="H59" s="90">
        <v>4500675362</v>
      </c>
      <c r="I59" s="465" t="s">
        <v>291</v>
      </c>
      <c r="J59" s="186">
        <v>44838</v>
      </c>
      <c r="K59" s="186">
        <v>44841</v>
      </c>
    </row>
    <row r="60" spans="1:11" x14ac:dyDescent="0.25">
      <c r="A60" s="635"/>
      <c r="B60" s="1"/>
      <c r="C60" s="1"/>
      <c r="D60" s="466"/>
      <c r="E60" s="260" t="s">
        <v>292</v>
      </c>
      <c r="F60" s="461">
        <v>12512090</v>
      </c>
      <c r="G60" s="467">
        <v>415.72</v>
      </c>
      <c r="H60" s="90">
        <v>4500675762</v>
      </c>
      <c r="I60" s="137" t="s">
        <v>293</v>
      </c>
      <c r="J60" s="468">
        <v>44837</v>
      </c>
      <c r="K60" s="468">
        <v>45206</v>
      </c>
    </row>
    <row r="61" spans="1:11" x14ac:dyDescent="0.25">
      <c r="A61" s="635"/>
      <c r="B61" s="1"/>
      <c r="C61" s="459">
        <v>4516009</v>
      </c>
      <c r="D61" s="459">
        <v>1476</v>
      </c>
      <c r="E61" s="260" t="s">
        <v>274</v>
      </c>
      <c r="F61" s="96">
        <v>12511753</v>
      </c>
      <c r="G61" s="72">
        <v>1262.08</v>
      </c>
      <c r="H61" s="90">
        <v>4500675639</v>
      </c>
      <c r="I61" s="90">
        <v>1000186100</v>
      </c>
      <c r="J61" s="186">
        <v>44851</v>
      </c>
      <c r="K61" s="186">
        <v>44858</v>
      </c>
    </row>
    <row r="62" spans="1:11" x14ac:dyDescent="0.25">
      <c r="A62" s="635"/>
      <c r="B62" s="1"/>
      <c r="C62" s="459">
        <v>4501007</v>
      </c>
      <c r="D62" s="459">
        <v>1471</v>
      </c>
      <c r="E62" s="260" t="s">
        <v>294</v>
      </c>
      <c r="F62" s="90">
        <v>12515854</v>
      </c>
      <c r="G62" s="72">
        <v>352</v>
      </c>
      <c r="H62" s="90">
        <v>4500678176</v>
      </c>
      <c r="I62" s="90">
        <v>5000042304</v>
      </c>
      <c r="J62" s="186">
        <v>44867</v>
      </c>
      <c r="K62" s="186">
        <v>44869</v>
      </c>
    </row>
    <row r="63" spans="1:11" x14ac:dyDescent="0.25">
      <c r="A63" s="635"/>
      <c r="B63" s="1"/>
      <c r="C63" s="459">
        <v>4516009</v>
      </c>
      <c r="D63" s="459">
        <v>1476</v>
      </c>
      <c r="E63" s="260" t="s">
        <v>295</v>
      </c>
      <c r="F63" s="90" t="s">
        <v>296</v>
      </c>
      <c r="G63" s="109">
        <v>3111.56</v>
      </c>
      <c r="H63" s="469" t="s">
        <v>297</v>
      </c>
      <c r="I63" s="137" t="s">
        <v>298</v>
      </c>
      <c r="J63" s="128">
        <v>44866</v>
      </c>
      <c r="K63" s="468">
        <v>45240</v>
      </c>
    </row>
    <row r="64" spans="1:11" x14ac:dyDescent="0.25">
      <c r="A64" s="635"/>
      <c r="B64" s="1"/>
      <c r="C64" s="288">
        <v>4508005</v>
      </c>
      <c r="D64" s="459">
        <v>1476</v>
      </c>
      <c r="E64" s="260" t="s">
        <v>299</v>
      </c>
      <c r="F64" s="137">
        <v>12519276</v>
      </c>
      <c r="G64" s="109">
        <v>24572.23</v>
      </c>
      <c r="H64" s="137">
        <v>4500683430</v>
      </c>
      <c r="I64" s="137">
        <v>1000189476</v>
      </c>
      <c r="J64" s="128">
        <v>44880</v>
      </c>
      <c r="K64" s="128">
        <v>44930</v>
      </c>
    </row>
    <row r="65" spans="1:11" ht="15.75" thickBot="1" x14ac:dyDescent="0.3">
      <c r="A65" s="636"/>
      <c r="B65" s="1"/>
      <c r="C65" s="288">
        <v>4516009</v>
      </c>
      <c r="D65" s="459">
        <v>1476</v>
      </c>
      <c r="E65" s="260" t="s">
        <v>300</v>
      </c>
      <c r="F65" s="90">
        <v>12520928</v>
      </c>
      <c r="G65" s="109">
        <v>1856.4</v>
      </c>
      <c r="H65" s="137">
        <v>4500681473</v>
      </c>
      <c r="I65" s="137">
        <v>5000048444</v>
      </c>
      <c r="J65" s="128">
        <v>44881</v>
      </c>
      <c r="K65" s="128">
        <v>45280</v>
      </c>
    </row>
    <row r="66" spans="1:11" ht="23.25" customHeight="1" x14ac:dyDescent="0.25">
      <c r="A66" s="640">
        <v>2023</v>
      </c>
      <c r="B66" s="1"/>
      <c r="C66" s="470">
        <v>4516009</v>
      </c>
      <c r="D66" s="470">
        <v>1476</v>
      </c>
      <c r="E66" s="471" t="s">
        <v>301</v>
      </c>
      <c r="F66" s="173">
        <v>12499833</v>
      </c>
      <c r="G66" s="472">
        <v>1198</v>
      </c>
      <c r="H66" s="174">
        <v>4500674486</v>
      </c>
      <c r="I66" s="174">
        <v>1000189224</v>
      </c>
      <c r="J66" s="473">
        <v>44902</v>
      </c>
      <c r="K66" s="186">
        <v>45286</v>
      </c>
    </row>
    <row r="67" spans="1:11" ht="23.25" customHeight="1" x14ac:dyDescent="0.25">
      <c r="A67" s="641"/>
      <c r="B67" s="1"/>
      <c r="C67" s="470">
        <v>4516009</v>
      </c>
      <c r="D67" s="470">
        <v>1476</v>
      </c>
      <c r="E67" s="260" t="s">
        <v>302</v>
      </c>
      <c r="F67" s="90">
        <v>12519347</v>
      </c>
      <c r="G67" s="109">
        <v>7988</v>
      </c>
      <c r="H67" s="137">
        <v>4500680800</v>
      </c>
      <c r="I67" s="137">
        <v>5000002894</v>
      </c>
      <c r="J67" s="473">
        <v>44950</v>
      </c>
      <c r="K67" s="186">
        <v>44951</v>
      </c>
    </row>
    <row r="68" spans="1:11" ht="23.25" customHeight="1" x14ac:dyDescent="0.25">
      <c r="A68" s="641"/>
      <c r="B68" s="1"/>
      <c r="C68" s="470">
        <v>4505004</v>
      </c>
      <c r="D68" s="470">
        <v>6230</v>
      </c>
      <c r="E68" s="260" t="s">
        <v>303</v>
      </c>
      <c r="F68" s="90">
        <v>12521481</v>
      </c>
      <c r="G68" s="474" t="s">
        <v>304</v>
      </c>
      <c r="H68" s="137">
        <v>4500682503</v>
      </c>
      <c r="I68" s="174">
        <v>1000191784</v>
      </c>
      <c r="J68" s="473">
        <v>44984</v>
      </c>
      <c r="K68" s="473">
        <v>44984</v>
      </c>
    </row>
    <row r="69" spans="1:11" ht="23.25" customHeight="1" x14ac:dyDescent="0.25">
      <c r="A69" s="641"/>
      <c r="B69" s="1"/>
      <c r="C69" s="470">
        <v>4508010</v>
      </c>
      <c r="D69" s="470">
        <v>1476</v>
      </c>
      <c r="E69" s="260" t="s">
        <v>305</v>
      </c>
      <c r="F69" s="90">
        <v>12538277</v>
      </c>
      <c r="G69" s="109">
        <v>19361.2</v>
      </c>
      <c r="H69" s="137" t="s">
        <v>306</v>
      </c>
      <c r="I69" s="137" t="s">
        <v>307</v>
      </c>
      <c r="J69" s="473">
        <v>44980</v>
      </c>
      <c r="K69" s="186">
        <v>44980</v>
      </c>
    </row>
    <row r="70" spans="1:11" ht="23.25" customHeight="1" x14ac:dyDescent="0.25">
      <c r="A70" s="641"/>
      <c r="B70" s="1" t="s">
        <v>308</v>
      </c>
      <c r="C70" s="470">
        <v>4516009</v>
      </c>
      <c r="D70" s="470">
        <v>1476</v>
      </c>
      <c r="E70" s="260" t="s">
        <v>309</v>
      </c>
      <c r="F70" s="90">
        <v>12555098</v>
      </c>
      <c r="G70" s="109">
        <v>7860.22</v>
      </c>
      <c r="H70" s="137">
        <v>4500687486</v>
      </c>
      <c r="I70" s="137">
        <v>1000191534</v>
      </c>
      <c r="J70" s="128">
        <v>44980</v>
      </c>
      <c r="K70" s="186">
        <v>44980</v>
      </c>
    </row>
    <row r="71" spans="1:11" ht="23.25" customHeight="1" x14ac:dyDescent="0.25">
      <c r="A71" s="641"/>
      <c r="B71" s="1" t="s">
        <v>310</v>
      </c>
      <c r="C71" s="470">
        <v>4516009</v>
      </c>
      <c r="D71" s="470">
        <v>1476</v>
      </c>
      <c r="E71" s="260" t="s">
        <v>311</v>
      </c>
      <c r="F71" s="90">
        <v>12562610</v>
      </c>
      <c r="G71" s="460">
        <v>4782</v>
      </c>
      <c r="H71" s="137">
        <v>4500688401</v>
      </c>
      <c r="I71" s="137">
        <v>5000007233</v>
      </c>
      <c r="J71" s="128">
        <v>44985</v>
      </c>
      <c r="K71" s="128">
        <v>44985</v>
      </c>
    </row>
    <row r="72" spans="1:11" ht="23.25" customHeight="1" x14ac:dyDescent="0.25">
      <c r="A72" s="641"/>
      <c r="B72" s="1"/>
      <c r="C72" s="470">
        <v>4516007</v>
      </c>
      <c r="D72" s="470">
        <v>1533</v>
      </c>
      <c r="E72" s="260" t="s">
        <v>312</v>
      </c>
      <c r="F72" s="90">
        <v>12577102</v>
      </c>
      <c r="G72" s="109">
        <v>3336.25</v>
      </c>
      <c r="H72" s="137">
        <v>4500689867</v>
      </c>
      <c r="I72" s="137">
        <v>1000192668</v>
      </c>
      <c r="J72" s="128">
        <v>45005</v>
      </c>
      <c r="K72" s="128">
        <v>45006</v>
      </c>
    </row>
    <row r="73" spans="1:11" ht="23.25" customHeight="1" x14ac:dyDescent="0.25">
      <c r="A73" s="641"/>
      <c r="B73" s="1"/>
      <c r="C73" s="470">
        <v>4508010</v>
      </c>
      <c r="D73" s="470">
        <v>1476</v>
      </c>
      <c r="E73" s="260" t="s">
        <v>313</v>
      </c>
      <c r="F73" s="90">
        <v>12593245</v>
      </c>
      <c r="G73" s="109">
        <v>7597</v>
      </c>
      <c r="H73" s="137">
        <v>4500691573</v>
      </c>
      <c r="I73" s="137">
        <v>5000011872</v>
      </c>
      <c r="J73" s="128">
        <v>45020</v>
      </c>
      <c r="K73" s="128">
        <v>45020</v>
      </c>
    </row>
    <row r="74" spans="1:11" ht="23.25" customHeight="1" x14ac:dyDescent="0.25">
      <c r="A74" s="641"/>
      <c r="B74" s="1"/>
      <c r="C74" s="470">
        <v>4516009</v>
      </c>
      <c r="D74" s="470">
        <v>5500</v>
      </c>
      <c r="E74" s="260" t="s">
        <v>314</v>
      </c>
      <c r="F74" s="90">
        <v>12593265</v>
      </c>
      <c r="G74" s="109">
        <v>550</v>
      </c>
      <c r="H74" s="137">
        <v>4500692167</v>
      </c>
      <c r="I74" s="137">
        <v>1000194882</v>
      </c>
      <c r="J74" s="128">
        <v>45043</v>
      </c>
      <c r="K74" s="128">
        <v>45044</v>
      </c>
    </row>
    <row r="75" spans="1:11" ht="23.25" customHeight="1" x14ac:dyDescent="0.25">
      <c r="A75" s="641"/>
      <c r="B75" s="1"/>
      <c r="C75" s="453">
        <v>4516007</v>
      </c>
      <c r="D75" s="453" t="s">
        <v>119</v>
      </c>
      <c r="E75" s="197" t="s">
        <v>315</v>
      </c>
      <c r="F75" s="90">
        <v>12597269</v>
      </c>
      <c r="G75" s="109">
        <v>3306.12</v>
      </c>
      <c r="H75" s="137">
        <v>4500692512</v>
      </c>
      <c r="I75" s="137">
        <v>5000014377</v>
      </c>
      <c r="J75" s="128">
        <v>45036</v>
      </c>
      <c r="K75" s="128"/>
    </row>
    <row r="76" spans="1:11" ht="23.25" customHeight="1" x14ac:dyDescent="0.25">
      <c r="A76" s="641"/>
      <c r="B76" s="1"/>
      <c r="C76" s="475">
        <v>4501007</v>
      </c>
      <c r="D76" s="475" t="s">
        <v>316</v>
      </c>
      <c r="E76" s="197" t="s">
        <v>317</v>
      </c>
      <c r="F76" s="90">
        <v>12609194</v>
      </c>
      <c r="G76" s="109">
        <v>79.903000000000006</v>
      </c>
      <c r="H76" s="137">
        <v>4500694623</v>
      </c>
      <c r="I76" s="137">
        <v>5000015862</v>
      </c>
      <c r="J76" s="128">
        <v>45034</v>
      </c>
      <c r="K76" s="128">
        <v>45049</v>
      </c>
    </row>
    <row r="77" spans="1:11" ht="23.25" customHeight="1" x14ac:dyDescent="0.25">
      <c r="A77" s="641"/>
      <c r="B77" s="1"/>
      <c r="C77" s="470">
        <v>4508001</v>
      </c>
      <c r="D77" s="470">
        <v>1476</v>
      </c>
      <c r="E77" s="260" t="s">
        <v>318</v>
      </c>
      <c r="F77" s="90">
        <v>12604151</v>
      </c>
      <c r="G77" s="109">
        <v>1457.71</v>
      </c>
      <c r="H77" s="137">
        <v>4500694204</v>
      </c>
      <c r="I77" s="137">
        <v>1000194531</v>
      </c>
      <c r="J77" s="128">
        <v>45040</v>
      </c>
      <c r="K77" s="128">
        <v>45041</v>
      </c>
    </row>
    <row r="78" spans="1:11" ht="23.25" customHeight="1" x14ac:dyDescent="0.25">
      <c r="A78" s="641"/>
      <c r="B78" s="1"/>
      <c r="C78" s="459">
        <v>4501007</v>
      </c>
      <c r="D78" s="470">
        <v>1476</v>
      </c>
      <c r="E78" s="260" t="s">
        <v>319</v>
      </c>
      <c r="F78" s="90">
        <v>12610103</v>
      </c>
      <c r="G78" s="109">
        <v>490</v>
      </c>
      <c r="H78" s="137">
        <v>4500694522</v>
      </c>
      <c r="I78" s="137">
        <v>5000014307</v>
      </c>
      <c r="J78" s="128">
        <v>45036</v>
      </c>
      <c r="K78" s="128">
        <v>45036</v>
      </c>
    </row>
    <row r="79" spans="1:11" ht="23.25" customHeight="1" x14ac:dyDescent="0.25">
      <c r="A79" s="641"/>
      <c r="B79" s="1"/>
      <c r="C79" s="476">
        <v>4508010</v>
      </c>
      <c r="D79" s="477">
        <v>6494</v>
      </c>
      <c r="E79" s="478" t="s">
        <v>320</v>
      </c>
      <c r="F79" s="479">
        <v>12617166</v>
      </c>
      <c r="G79" s="480" t="s">
        <v>321</v>
      </c>
      <c r="H79" s="481" t="s">
        <v>322</v>
      </c>
      <c r="I79" s="481"/>
      <c r="J79" s="481" t="s">
        <v>323</v>
      </c>
      <c r="K79" s="128"/>
    </row>
    <row r="80" spans="1:11" ht="23.25" customHeight="1" x14ac:dyDescent="0.25">
      <c r="A80" s="641"/>
      <c r="B80" s="1"/>
      <c r="C80" s="482">
        <v>4508010</v>
      </c>
      <c r="D80" s="477">
        <v>1476</v>
      </c>
      <c r="E80" s="483" t="s">
        <v>324</v>
      </c>
      <c r="F80" s="479">
        <v>12619835</v>
      </c>
      <c r="G80" s="484" t="s">
        <v>325</v>
      </c>
      <c r="H80" s="485" t="s">
        <v>322</v>
      </c>
      <c r="I80" s="485" t="s">
        <v>326</v>
      </c>
      <c r="J80" s="485" t="s">
        <v>323</v>
      </c>
      <c r="K80" s="128">
        <v>45055</v>
      </c>
    </row>
    <row r="81" spans="1:11" ht="23.25" customHeight="1" x14ac:dyDescent="0.25">
      <c r="A81" s="641"/>
      <c r="B81" s="1"/>
      <c r="C81" s="470">
        <v>4516009</v>
      </c>
      <c r="D81" s="470">
        <v>1476</v>
      </c>
      <c r="E81" s="260" t="s">
        <v>327</v>
      </c>
      <c r="F81" s="90">
        <v>12642576</v>
      </c>
      <c r="G81" s="109">
        <v>15075.32</v>
      </c>
      <c r="H81" s="137">
        <v>4500700345</v>
      </c>
      <c r="I81" s="137">
        <v>1000197149</v>
      </c>
      <c r="J81" s="128">
        <v>45096</v>
      </c>
      <c r="K81" s="128"/>
    </row>
    <row r="82" spans="1:11" x14ac:dyDescent="0.25">
      <c r="A82" s="641"/>
      <c r="B82" s="1"/>
      <c r="C82" s="470">
        <v>4516009</v>
      </c>
      <c r="D82" s="470">
        <v>1476</v>
      </c>
      <c r="E82" s="260" t="s">
        <v>328</v>
      </c>
      <c r="F82" s="90">
        <v>12630169</v>
      </c>
      <c r="G82" s="109" t="s">
        <v>329</v>
      </c>
      <c r="H82" s="137">
        <v>4500698772</v>
      </c>
      <c r="I82" s="137">
        <v>5000027258</v>
      </c>
      <c r="J82" s="128">
        <v>45126</v>
      </c>
      <c r="K82" s="128">
        <v>45135</v>
      </c>
    </row>
    <row r="83" spans="1:11" x14ac:dyDescent="0.25">
      <c r="A83" s="641"/>
      <c r="B83" s="1"/>
      <c r="C83" s="470">
        <v>4516009</v>
      </c>
      <c r="D83" s="470">
        <v>1476</v>
      </c>
      <c r="E83" s="260" t="s">
        <v>330</v>
      </c>
      <c r="F83" s="90">
        <v>12623258</v>
      </c>
      <c r="G83" s="109">
        <v>342.72</v>
      </c>
      <c r="H83" s="137" t="s">
        <v>331</v>
      </c>
      <c r="I83" s="90"/>
      <c r="J83" s="128">
        <v>45147</v>
      </c>
      <c r="K83" s="128"/>
    </row>
    <row r="84" spans="1:11" x14ac:dyDescent="0.25">
      <c r="A84" s="641"/>
      <c r="B84" s="1"/>
      <c r="C84" s="470">
        <v>4516009</v>
      </c>
      <c r="D84" s="470">
        <v>1476</v>
      </c>
      <c r="E84" s="260" t="s">
        <v>332</v>
      </c>
      <c r="F84" s="90">
        <v>12630171</v>
      </c>
      <c r="G84" s="109">
        <v>200</v>
      </c>
      <c r="H84" s="137">
        <v>4500698772</v>
      </c>
      <c r="I84" s="137" t="s">
        <v>333</v>
      </c>
      <c r="J84" s="128"/>
      <c r="K84" s="128"/>
    </row>
    <row r="85" spans="1:11" x14ac:dyDescent="0.25">
      <c r="A85" s="641"/>
      <c r="B85" s="1"/>
      <c r="C85" s="459">
        <v>4501007</v>
      </c>
      <c r="D85" s="470">
        <v>1476</v>
      </c>
      <c r="E85" s="260" t="s">
        <v>334</v>
      </c>
      <c r="F85" s="90">
        <v>12693238</v>
      </c>
      <c r="G85" s="109">
        <v>94149.98</v>
      </c>
      <c r="H85" s="137" t="s">
        <v>335</v>
      </c>
      <c r="I85" s="137"/>
      <c r="J85" s="128">
        <v>45138</v>
      </c>
      <c r="K85" s="128"/>
    </row>
    <row r="86" spans="1:11" x14ac:dyDescent="0.25">
      <c r="A86" s="641"/>
      <c r="B86" s="1"/>
      <c r="C86" s="459">
        <v>4501007</v>
      </c>
      <c r="D86" s="470">
        <v>1476</v>
      </c>
      <c r="E86" s="260" t="s">
        <v>336</v>
      </c>
      <c r="F86" s="260">
        <v>12683403</v>
      </c>
      <c r="G86" s="109">
        <v>13142.95</v>
      </c>
      <c r="H86" s="137">
        <v>4500705557</v>
      </c>
      <c r="I86" s="137">
        <v>1000199740</v>
      </c>
      <c r="J86" s="128">
        <v>45138</v>
      </c>
      <c r="K86" s="128">
        <v>45153</v>
      </c>
    </row>
    <row r="87" spans="1:11" x14ac:dyDescent="0.25">
      <c r="A87" s="641"/>
      <c r="B87" s="1"/>
      <c r="C87" s="459">
        <v>4501007</v>
      </c>
      <c r="D87" s="470">
        <v>1476</v>
      </c>
      <c r="E87" s="260" t="s">
        <v>337</v>
      </c>
      <c r="F87" s="90">
        <v>12701947</v>
      </c>
      <c r="G87" s="109">
        <v>10388.219999999999</v>
      </c>
      <c r="H87" s="137">
        <v>4500708296</v>
      </c>
      <c r="I87" s="137">
        <v>1000201616</v>
      </c>
      <c r="J87" s="128">
        <v>45138</v>
      </c>
      <c r="K87" s="128"/>
    </row>
    <row r="88" spans="1:11" x14ac:dyDescent="0.25">
      <c r="A88" s="641"/>
      <c r="B88" s="1"/>
      <c r="C88" s="470"/>
      <c r="D88" s="470"/>
      <c r="E88" s="486" t="s">
        <v>338</v>
      </c>
      <c r="F88" s="194">
        <v>12677720</v>
      </c>
      <c r="G88" s="487">
        <v>4.1399999999999997</v>
      </c>
      <c r="H88" s="99">
        <v>4500704663</v>
      </c>
      <c r="I88" s="90">
        <v>5000028265</v>
      </c>
      <c r="J88" s="91">
        <v>45133</v>
      </c>
      <c r="K88" s="128"/>
    </row>
    <row r="89" spans="1:11" x14ac:dyDescent="0.25">
      <c r="A89" s="641"/>
      <c r="B89" s="1"/>
      <c r="C89" s="470">
        <v>4501007</v>
      </c>
      <c r="D89" s="470">
        <v>1476</v>
      </c>
      <c r="E89" s="260" t="s">
        <v>339</v>
      </c>
      <c r="F89" s="90">
        <v>12684284</v>
      </c>
      <c r="G89" s="109">
        <v>838</v>
      </c>
      <c r="H89" s="137">
        <v>4500705606</v>
      </c>
      <c r="I89" s="137">
        <v>5000031120</v>
      </c>
      <c r="J89" s="128"/>
      <c r="K89" s="128"/>
    </row>
    <row r="90" spans="1:11" x14ac:dyDescent="0.25">
      <c r="A90" s="641"/>
      <c r="B90" s="1"/>
      <c r="C90" s="470">
        <v>4501007</v>
      </c>
      <c r="D90" s="470">
        <v>1476</v>
      </c>
      <c r="E90" s="260" t="s">
        <v>237</v>
      </c>
      <c r="F90" s="90">
        <v>12704419</v>
      </c>
      <c r="G90" s="109">
        <v>33113.360000000001</v>
      </c>
      <c r="H90" s="137">
        <v>4500708821</v>
      </c>
      <c r="I90" s="137">
        <v>1000200945</v>
      </c>
      <c r="J90" s="128"/>
      <c r="K90" s="128"/>
    </row>
    <row r="91" spans="1:11" x14ac:dyDescent="0.25">
      <c r="A91" s="641"/>
      <c r="B91" s="1"/>
      <c r="C91" s="470">
        <v>4516003</v>
      </c>
      <c r="D91" s="470">
        <v>1400</v>
      </c>
      <c r="E91" s="260" t="s">
        <v>340</v>
      </c>
      <c r="F91" s="90">
        <v>12716667</v>
      </c>
      <c r="G91" s="109">
        <v>252.2</v>
      </c>
      <c r="H91" s="137">
        <v>4500710509</v>
      </c>
      <c r="I91" s="137"/>
      <c r="J91" s="128"/>
      <c r="K91" s="128"/>
    </row>
    <row r="92" spans="1:11" x14ac:dyDescent="0.25">
      <c r="A92" s="641"/>
      <c r="B92" s="1"/>
      <c r="C92" s="470">
        <v>4501007</v>
      </c>
      <c r="D92" s="470">
        <v>1476</v>
      </c>
      <c r="E92" s="260" t="s">
        <v>341</v>
      </c>
      <c r="F92" s="90">
        <v>12717407</v>
      </c>
      <c r="G92" s="109">
        <v>54912.72</v>
      </c>
      <c r="H92" s="137">
        <v>4500709148</v>
      </c>
      <c r="I92" s="137" t="s">
        <v>342</v>
      </c>
      <c r="J92" s="128"/>
      <c r="K92" s="128"/>
    </row>
    <row r="93" spans="1:11" x14ac:dyDescent="0.25">
      <c r="A93" s="641"/>
      <c r="B93" s="1"/>
      <c r="C93" s="470">
        <v>4501007</v>
      </c>
      <c r="D93" s="470">
        <v>1476</v>
      </c>
      <c r="E93" s="260" t="s">
        <v>343</v>
      </c>
      <c r="F93" s="90">
        <v>12687846</v>
      </c>
      <c r="G93" s="109">
        <v>3097.76</v>
      </c>
      <c r="H93" s="137">
        <v>4500706311</v>
      </c>
      <c r="I93" s="137">
        <v>1000200526</v>
      </c>
      <c r="J93" s="128"/>
      <c r="K93" s="128" t="s">
        <v>344</v>
      </c>
    </row>
    <row r="94" spans="1:11" x14ac:dyDescent="0.25">
      <c r="A94" s="641"/>
      <c r="B94" s="1"/>
      <c r="C94" s="470">
        <v>4516009</v>
      </c>
      <c r="D94" s="470">
        <v>1476</v>
      </c>
      <c r="E94" s="260" t="s">
        <v>345</v>
      </c>
      <c r="F94" s="90">
        <v>12740929</v>
      </c>
      <c r="G94" s="109">
        <v>6060</v>
      </c>
      <c r="H94" s="137">
        <v>4500714047</v>
      </c>
      <c r="I94" s="137" t="s">
        <v>346</v>
      </c>
      <c r="J94" s="128"/>
      <c r="K94" s="128" t="s">
        <v>347</v>
      </c>
    </row>
    <row r="95" spans="1:11" x14ac:dyDescent="0.25">
      <c r="A95" s="641"/>
      <c r="B95" s="1"/>
      <c r="C95" s="470"/>
      <c r="D95" s="470"/>
      <c r="E95" s="260" t="s">
        <v>348</v>
      </c>
      <c r="F95" s="90">
        <v>12726439</v>
      </c>
      <c r="G95" s="109">
        <v>2860</v>
      </c>
      <c r="H95" s="137">
        <v>4500712576</v>
      </c>
      <c r="I95" s="137">
        <v>1000204627</v>
      </c>
      <c r="J95" s="128"/>
      <c r="K95" s="128" t="s">
        <v>347</v>
      </c>
    </row>
    <row r="96" spans="1:11" ht="17.25" customHeight="1" x14ac:dyDescent="0.25">
      <c r="A96" s="641"/>
      <c r="B96" s="1"/>
      <c r="C96" s="470">
        <v>4516002</v>
      </c>
      <c r="D96" s="470">
        <v>1476</v>
      </c>
      <c r="E96" s="260" t="s">
        <v>330</v>
      </c>
      <c r="F96" s="462" t="s">
        <v>349</v>
      </c>
      <c r="G96" s="488" t="s">
        <v>350</v>
      </c>
      <c r="H96" s="489" t="s">
        <v>351</v>
      </c>
      <c r="I96" s="489" t="s">
        <v>352</v>
      </c>
      <c r="J96" s="128" t="s">
        <v>353</v>
      </c>
      <c r="K96" s="128"/>
    </row>
    <row r="97" spans="1:11" ht="17.25" customHeight="1" x14ac:dyDescent="0.25">
      <c r="A97" s="641"/>
      <c r="B97" s="1"/>
      <c r="C97" s="470"/>
      <c r="D97" s="470"/>
      <c r="E97" s="260" t="s">
        <v>354</v>
      </c>
      <c r="F97" s="462">
        <v>12751402</v>
      </c>
      <c r="G97" s="488">
        <v>1799.8</v>
      </c>
      <c r="H97" s="489">
        <v>4500716027</v>
      </c>
      <c r="I97" s="489">
        <v>5000048460</v>
      </c>
      <c r="J97" s="128"/>
      <c r="K97" s="128" t="s">
        <v>355</v>
      </c>
    </row>
    <row r="98" spans="1:11" x14ac:dyDescent="0.25">
      <c r="A98" s="641"/>
      <c r="B98" s="1"/>
      <c r="C98" s="470">
        <v>4516003</v>
      </c>
      <c r="D98" s="470">
        <v>1533</v>
      </c>
      <c r="E98" s="260" t="s">
        <v>356</v>
      </c>
      <c r="F98" s="90">
        <v>12756339</v>
      </c>
      <c r="G98" s="488">
        <v>337.4</v>
      </c>
      <c r="H98" s="489">
        <v>4500716259</v>
      </c>
      <c r="I98" s="489">
        <v>5105653241</v>
      </c>
      <c r="J98" s="128"/>
      <c r="K98" s="128" t="s">
        <v>347</v>
      </c>
    </row>
    <row r="99" spans="1:11" x14ac:dyDescent="0.25">
      <c r="A99" s="641"/>
      <c r="B99" s="1"/>
      <c r="C99" s="470">
        <v>4516005</v>
      </c>
      <c r="D99" s="470">
        <v>1476</v>
      </c>
      <c r="E99" s="260" t="s">
        <v>357</v>
      </c>
      <c r="F99" s="90">
        <v>12656665</v>
      </c>
      <c r="G99" s="488">
        <v>26000</v>
      </c>
      <c r="H99" s="489">
        <v>4500701839</v>
      </c>
      <c r="I99" s="489">
        <v>1000205192</v>
      </c>
      <c r="J99" s="128"/>
      <c r="K99" s="128" t="s">
        <v>358</v>
      </c>
    </row>
    <row r="100" spans="1:11" x14ac:dyDescent="0.25">
      <c r="A100" s="641"/>
      <c r="B100" s="1"/>
      <c r="C100" s="470">
        <v>4516005</v>
      </c>
      <c r="D100" s="470">
        <v>1476</v>
      </c>
      <c r="E100" s="260" t="s">
        <v>357</v>
      </c>
      <c r="F100" s="90">
        <v>12766952</v>
      </c>
      <c r="G100" s="488">
        <v>37896</v>
      </c>
      <c r="H100" s="489">
        <v>4500718295</v>
      </c>
      <c r="I100" s="489">
        <v>1000205684</v>
      </c>
      <c r="J100" s="128"/>
      <c r="K100" s="128" t="s">
        <v>359</v>
      </c>
    </row>
    <row r="101" spans="1:11" x14ac:dyDescent="0.25">
      <c r="A101" s="641"/>
      <c r="B101" s="1"/>
      <c r="C101" s="470">
        <v>4516007</v>
      </c>
      <c r="D101" s="470">
        <v>1450</v>
      </c>
      <c r="E101" s="260" t="s">
        <v>360</v>
      </c>
      <c r="F101" s="462">
        <v>12772213</v>
      </c>
      <c r="G101" s="488">
        <f>8236+4686</f>
        <v>12922</v>
      </c>
      <c r="H101" s="489">
        <v>4500718806</v>
      </c>
      <c r="I101" s="489">
        <v>1000206197</v>
      </c>
      <c r="J101" s="128"/>
      <c r="K101" s="128" t="s">
        <v>355</v>
      </c>
    </row>
    <row r="102" spans="1:11" x14ac:dyDescent="0.25">
      <c r="A102" s="641"/>
      <c r="B102" s="1"/>
      <c r="C102" s="470">
        <v>4516007</v>
      </c>
      <c r="D102" s="470">
        <v>1561</v>
      </c>
      <c r="E102" s="260" t="s">
        <v>361</v>
      </c>
      <c r="F102" s="90">
        <v>12763396</v>
      </c>
      <c r="G102" s="488">
        <v>3384.86</v>
      </c>
      <c r="H102" s="489" t="s">
        <v>362</v>
      </c>
      <c r="I102" s="489" t="s">
        <v>363</v>
      </c>
      <c r="J102" s="128"/>
      <c r="K102" s="128" t="s">
        <v>359</v>
      </c>
    </row>
    <row r="103" spans="1:11" x14ac:dyDescent="0.25">
      <c r="A103" s="641"/>
      <c r="B103" s="1"/>
      <c r="C103" s="470">
        <v>4516007</v>
      </c>
      <c r="D103" s="470">
        <v>1561</v>
      </c>
      <c r="E103" s="260" t="s">
        <v>364</v>
      </c>
      <c r="F103" s="90">
        <v>12763396</v>
      </c>
      <c r="G103" s="488">
        <v>6471.68</v>
      </c>
      <c r="H103" s="489">
        <v>4500717537</v>
      </c>
      <c r="I103" s="489">
        <v>1000205805</v>
      </c>
      <c r="J103" s="128"/>
      <c r="K103" s="128" t="s">
        <v>359</v>
      </c>
    </row>
    <row r="104" spans="1:11" x14ac:dyDescent="0.25">
      <c r="A104" s="641"/>
      <c r="B104" s="1"/>
      <c r="C104" s="470">
        <v>4516007</v>
      </c>
      <c r="D104" s="470">
        <v>1476</v>
      </c>
      <c r="E104" s="260" t="s">
        <v>365</v>
      </c>
      <c r="F104" s="90">
        <v>12775280</v>
      </c>
      <c r="G104" s="488">
        <v>6792</v>
      </c>
      <c r="H104" s="489">
        <v>4500719268</v>
      </c>
      <c r="I104" s="489" t="s">
        <v>366</v>
      </c>
      <c r="J104" s="128"/>
      <c r="K104" s="128"/>
    </row>
    <row r="105" spans="1:11" x14ac:dyDescent="0.25">
      <c r="A105" s="641"/>
      <c r="B105" s="1"/>
      <c r="C105" s="470">
        <v>4516007</v>
      </c>
      <c r="D105" s="470">
        <v>1476</v>
      </c>
      <c r="E105" s="260" t="s">
        <v>367</v>
      </c>
      <c r="F105" s="462">
        <v>12775279</v>
      </c>
      <c r="G105" s="488">
        <v>17000</v>
      </c>
      <c r="H105" s="489">
        <v>4500719160</v>
      </c>
      <c r="I105" s="489">
        <v>1000206175</v>
      </c>
      <c r="J105" s="128" t="s">
        <v>368</v>
      </c>
      <c r="K105" s="128" t="s">
        <v>355</v>
      </c>
    </row>
    <row r="106" spans="1:11" x14ac:dyDescent="0.25">
      <c r="A106" s="641"/>
      <c r="B106" s="1"/>
      <c r="C106" s="470">
        <v>4516007</v>
      </c>
      <c r="D106" s="470">
        <v>1476</v>
      </c>
      <c r="E106" s="260" t="s">
        <v>369</v>
      </c>
      <c r="F106" s="90">
        <v>12759630</v>
      </c>
      <c r="G106" s="109">
        <v>1194</v>
      </c>
      <c r="H106" s="137">
        <v>4500716874</v>
      </c>
      <c r="I106" s="137"/>
      <c r="J106" s="128"/>
      <c r="K106" s="128"/>
    </row>
    <row r="107" spans="1:11" x14ac:dyDescent="0.25">
      <c r="A107" s="641"/>
      <c r="B107" s="1"/>
      <c r="C107" s="470">
        <v>4516003</v>
      </c>
      <c r="D107" s="470">
        <v>1040</v>
      </c>
      <c r="E107" s="260" t="s">
        <v>356</v>
      </c>
      <c r="F107" s="90">
        <v>12776170</v>
      </c>
      <c r="G107" s="109">
        <v>194</v>
      </c>
      <c r="H107" s="137"/>
      <c r="I107" s="137"/>
      <c r="J107" s="128"/>
      <c r="K107" s="128"/>
    </row>
    <row r="108" spans="1:11" ht="15.75" thickBot="1" x14ac:dyDescent="0.3">
      <c r="A108" s="641"/>
      <c r="B108" s="1"/>
      <c r="C108" s="470">
        <v>4516002</v>
      </c>
      <c r="D108" s="470">
        <v>1425</v>
      </c>
      <c r="E108" s="260" t="s">
        <v>370</v>
      </c>
      <c r="F108" s="90">
        <v>12783095</v>
      </c>
      <c r="G108" s="109">
        <v>2598.5700000000002</v>
      </c>
      <c r="H108" s="137">
        <v>4500720057</v>
      </c>
      <c r="I108" s="137">
        <v>1000206628</v>
      </c>
      <c r="J108" s="128">
        <v>45300</v>
      </c>
      <c r="K108" s="128">
        <v>45301</v>
      </c>
    </row>
    <row r="109" spans="1:11" x14ac:dyDescent="0.25">
      <c r="A109" s="640">
        <v>2024</v>
      </c>
      <c r="B109" s="490"/>
      <c r="C109" s="491"/>
      <c r="D109" s="492"/>
      <c r="E109" s="493"/>
      <c r="F109" s="494"/>
      <c r="G109" s="495"/>
      <c r="H109" s="496"/>
      <c r="I109" s="496"/>
      <c r="J109" s="497"/>
      <c r="K109" s="497"/>
    </row>
    <row r="110" spans="1:11" x14ac:dyDescent="0.25">
      <c r="A110" s="641"/>
      <c r="B110" s="1"/>
      <c r="C110" s="498">
        <v>4516003</v>
      </c>
      <c r="D110" s="459">
        <v>1476</v>
      </c>
      <c r="E110" s="260" t="s">
        <v>371</v>
      </c>
      <c r="F110" s="90">
        <v>12786675</v>
      </c>
      <c r="G110" s="109">
        <v>26.71</v>
      </c>
      <c r="H110" s="137">
        <v>4500720772</v>
      </c>
      <c r="I110" s="137">
        <v>5000003051</v>
      </c>
      <c r="J110" s="458">
        <v>45315</v>
      </c>
      <c r="K110" s="458">
        <v>45317</v>
      </c>
    </row>
    <row r="111" spans="1:11" x14ac:dyDescent="0.25">
      <c r="A111" s="641"/>
      <c r="B111" s="1"/>
      <c r="C111" s="498">
        <v>4508010</v>
      </c>
      <c r="D111" s="459">
        <v>1476</v>
      </c>
      <c r="E111" s="268" t="s">
        <v>372</v>
      </c>
      <c r="F111" s="417">
        <v>12797117</v>
      </c>
      <c r="G111" s="418">
        <v>9597</v>
      </c>
      <c r="H111" s="417">
        <v>4500721890</v>
      </c>
      <c r="I111" s="417">
        <v>5000007401</v>
      </c>
      <c r="J111" s="499">
        <v>45349</v>
      </c>
      <c r="K111" s="499">
        <v>45352</v>
      </c>
    </row>
    <row r="112" spans="1:11" x14ac:dyDescent="0.25">
      <c r="A112" s="641"/>
      <c r="B112" s="1"/>
      <c r="C112" s="498">
        <v>4516009</v>
      </c>
      <c r="D112" s="459">
        <v>1476</v>
      </c>
      <c r="E112" s="260" t="s">
        <v>373</v>
      </c>
      <c r="F112" s="417">
        <v>12797137</v>
      </c>
      <c r="G112" s="418">
        <v>53014.9</v>
      </c>
      <c r="H112" s="417">
        <v>4500721887</v>
      </c>
      <c r="I112" s="500">
        <v>5000003365</v>
      </c>
      <c r="J112" s="499">
        <v>45317</v>
      </c>
      <c r="K112" s="499">
        <v>45317</v>
      </c>
    </row>
    <row r="113" spans="1:11" x14ac:dyDescent="0.25">
      <c r="A113" s="641"/>
      <c r="B113" s="1"/>
      <c r="C113" s="498">
        <v>4501007</v>
      </c>
      <c r="D113" s="459">
        <v>1476</v>
      </c>
      <c r="E113" s="268" t="s">
        <v>374</v>
      </c>
      <c r="F113" s="417">
        <v>12797506</v>
      </c>
      <c r="G113" s="418">
        <v>600</v>
      </c>
      <c r="H113" s="417">
        <v>4500721986</v>
      </c>
      <c r="I113" s="417">
        <v>5000004466</v>
      </c>
      <c r="J113" s="499">
        <v>45328</v>
      </c>
      <c r="K113" s="499">
        <v>45339</v>
      </c>
    </row>
    <row r="114" spans="1:11" x14ac:dyDescent="0.25">
      <c r="A114" s="641"/>
      <c r="B114" s="1"/>
      <c r="C114" s="498">
        <v>4516002</v>
      </c>
      <c r="D114" s="459">
        <v>1476</v>
      </c>
      <c r="E114" s="268" t="s">
        <v>375</v>
      </c>
      <c r="F114" s="417">
        <v>12800822</v>
      </c>
      <c r="G114" s="418" t="s">
        <v>376</v>
      </c>
      <c r="H114" s="501">
        <v>4500724953</v>
      </c>
      <c r="I114" s="417">
        <v>1000211384</v>
      </c>
      <c r="J114" s="499">
        <v>45398</v>
      </c>
      <c r="K114" s="502" t="s">
        <v>377</v>
      </c>
    </row>
    <row r="115" spans="1:11" x14ac:dyDescent="0.25">
      <c r="A115" s="641"/>
      <c r="B115" s="1"/>
      <c r="C115" s="498">
        <v>4516009</v>
      </c>
      <c r="D115" s="459">
        <v>1476</v>
      </c>
      <c r="E115" s="268" t="s">
        <v>378</v>
      </c>
      <c r="F115" s="417">
        <v>12802394</v>
      </c>
      <c r="G115" s="418">
        <v>397.42</v>
      </c>
      <c r="H115" s="501" t="s">
        <v>379</v>
      </c>
      <c r="I115" s="417" t="s">
        <v>380</v>
      </c>
      <c r="J115" s="499">
        <v>45383</v>
      </c>
      <c r="K115" s="502" t="s">
        <v>377</v>
      </c>
    </row>
    <row r="116" spans="1:11" x14ac:dyDescent="0.25">
      <c r="A116" s="641"/>
      <c r="B116" s="1"/>
      <c r="C116" s="503">
        <v>4516009</v>
      </c>
      <c r="D116" s="504">
        <v>1476</v>
      </c>
      <c r="E116" s="505" t="s">
        <v>381</v>
      </c>
      <c r="F116" s="506" t="s">
        <v>382</v>
      </c>
      <c r="G116" s="507">
        <v>2361.33</v>
      </c>
      <c r="H116" s="508">
        <v>4500727856</v>
      </c>
      <c r="I116" s="508">
        <v>5000013533</v>
      </c>
      <c r="J116" s="509" t="s">
        <v>383</v>
      </c>
      <c r="K116" s="509" t="s">
        <v>377</v>
      </c>
    </row>
    <row r="117" spans="1:11" x14ac:dyDescent="0.25">
      <c r="A117" s="641"/>
      <c r="B117" s="1"/>
      <c r="C117" s="510">
        <v>4516009</v>
      </c>
      <c r="D117" s="511">
        <v>1476</v>
      </c>
      <c r="E117" s="512" t="s">
        <v>384</v>
      </c>
      <c r="F117" s="513">
        <v>12803810</v>
      </c>
      <c r="G117" s="514">
        <v>17484.599999999999</v>
      </c>
      <c r="H117" s="513">
        <v>4500727861</v>
      </c>
      <c r="I117" s="513">
        <v>5000013482</v>
      </c>
      <c r="J117" s="515">
        <v>45397</v>
      </c>
      <c r="K117" s="515">
        <v>45399</v>
      </c>
    </row>
    <row r="118" spans="1:11" x14ac:dyDescent="0.25">
      <c r="A118" s="641"/>
      <c r="B118" s="1"/>
      <c r="C118" s="510">
        <v>4516009</v>
      </c>
      <c r="D118" s="516">
        <v>1476</v>
      </c>
      <c r="E118" s="517" t="s">
        <v>385</v>
      </c>
      <c r="F118" s="518">
        <v>12803573</v>
      </c>
      <c r="G118" s="519">
        <v>15286.65</v>
      </c>
      <c r="H118" s="518">
        <v>4500727861</v>
      </c>
      <c r="I118" s="518">
        <v>5000013482</v>
      </c>
      <c r="J118" s="520">
        <v>45397</v>
      </c>
      <c r="K118" s="520">
        <v>45399</v>
      </c>
    </row>
    <row r="119" spans="1:11" x14ac:dyDescent="0.25">
      <c r="A119" s="641"/>
      <c r="B119" s="1"/>
      <c r="C119" s="510">
        <v>4516009</v>
      </c>
      <c r="D119" s="459">
        <v>1450</v>
      </c>
      <c r="E119" s="268" t="s">
        <v>386</v>
      </c>
      <c r="F119" s="417">
        <v>12804627</v>
      </c>
      <c r="G119" s="418">
        <v>287</v>
      </c>
      <c r="H119" s="417">
        <v>4500729009</v>
      </c>
      <c r="I119" s="417">
        <v>5000015133</v>
      </c>
      <c r="J119" s="423">
        <v>45406</v>
      </c>
      <c r="K119" s="423">
        <v>45407</v>
      </c>
    </row>
    <row r="120" spans="1:11" x14ac:dyDescent="0.25">
      <c r="A120" s="641"/>
      <c r="B120" s="1"/>
      <c r="C120" s="521">
        <v>4516009</v>
      </c>
      <c r="D120" s="288">
        <v>1476</v>
      </c>
      <c r="E120" s="268" t="s">
        <v>387</v>
      </c>
      <c r="F120" s="417">
        <v>12805291</v>
      </c>
      <c r="G120" s="418">
        <v>858.6</v>
      </c>
      <c r="H120" s="417">
        <v>4500729017</v>
      </c>
      <c r="I120" s="417">
        <v>5000015272</v>
      </c>
      <c r="J120" s="423">
        <v>45407</v>
      </c>
      <c r="K120" s="423">
        <v>45411</v>
      </c>
    </row>
    <row r="121" spans="1:11" x14ac:dyDescent="0.25">
      <c r="A121" s="641"/>
      <c r="B121" s="1"/>
      <c r="C121" s="522">
        <v>4513002</v>
      </c>
      <c r="D121" s="288">
        <v>1476</v>
      </c>
      <c r="E121" s="268" t="s">
        <v>388</v>
      </c>
      <c r="F121" s="417">
        <v>12805460</v>
      </c>
      <c r="G121" s="418">
        <v>124</v>
      </c>
      <c r="H121" s="417">
        <v>4500729549</v>
      </c>
      <c r="I121" s="417">
        <v>5000016114</v>
      </c>
      <c r="J121" s="423">
        <v>45415</v>
      </c>
      <c r="K121" s="423">
        <v>45418</v>
      </c>
    </row>
    <row r="122" spans="1:11" x14ac:dyDescent="0.25">
      <c r="A122" s="641"/>
      <c r="B122" s="1"/>
      <c r="C122" s="522">
        <v>4513002</v>
      </c>
      <c r="D122" s="268" t="s">
        <v>389</v>
      </c>
      <c r="E122" s="523" t="s">
        <v>390</v>
      </c>
      <c r="F122" s="417">
        <v>12805655</v>
      </c>
      <c r="G122" s="418">
        <v>187.49</v>
      </c>
      <c r="H122" s="417">
        <v>4500729554</v>
      </c>
      <c r="I122" s="417">
        <v>5000016113</v>
      </c>
      <c r="J122" s="423">
        <v>45415</v>
      </c>
      <c r="K122" s="423">
        <v>45418</v>
      </c>
    </row>
    <row r="123" spans="1:11" x14ac:dyDescent="0.25">
      <c r="A123" s="641"/>
      <c r="B123" s="1"/>
      <c r="C123" s="522">
        <v>4513002</v>
      </c>
      <c r="D123" s="288">
        <v>1420</v>
      </c>
      <c r="E123" s="523" t="s">
        <v>391</v>
      </c>
      <c r="F123" s="417">
        <v>12806284</v>
      </c>
      <c r="G123" s="418">
        <v>187.49</v>
      </c>
      <c r="H123" s="417">
        <v>4500730032</v>
      </c>
      <c r="I123" s="417">
        <v>5000016109</v>
      </c>
      <c r="J123" s="423">
        <v>45415</v>
      </c>
      <c r="K123" s="423">
        <v>45418</v>
      </c>
    </row>
    <row r="124" spans="1:11" x14ac:dyDescent="0.25">
      <c r="A124" s="641"/>
      <c r="B124" s="1"/>
      <c r="C124" s="522">
        <v>4516003</v>
      </c>
      <c r="D124" s="288">
        <v>1534</v>
      </c>
      <c r="E124" s="523" t="s">
        <v>392</v>
      </c>
      <c r="F124" s="417">
        <v>12806608</v>
      </c>
      <c r="G124" s="418">
        <v>64.709999999999994</v>
      </c>
      <c r="H124" s="417">
        <v>4500730198</v>
      </c>
      <c r="I124" s="417">
        <v>5000016283</v>
      </c>
      <c r="J124" s="423">
        <v>45418</v>
      </c>
      <c r="K124" s="423">
        <v>45421</v>
      </c>
    </row>
    <row r="125" spans="1:11" x14ac:dyDescent="0.25">
      <c r="A125" s="641"/>
      <c r="B125" s="1"/>
      <c r="C125" s="522">
        <v>4516003</v>
      </c>
      <c r="D125" s="288" t="s">
        <v>393</v>
      </c>
      <c r="E125" s="523" t="s">
        <v>394</v>
      </c>
      <c r="F125" s="417">
        <v>12805402</v>
      </c>
      <c r="G125" s="418">
        <v>1890.83</v>
      </c>
      <c r="H125" s="417">
        <v>4500729546</v>
      </c>
      <c r="I125" s="417">
        <v>5000016276</v>
      </c>
      <c r="J125" s="423">
        <v>45418</v>
      </c>
      <c r="K125" s="423">
        <v>45421</v>
      </c>
    </row>
    <row r="126" spans="1:11" x14ac:dyDescent="0.25">
      <c r="A126" s="641"/>
      <c r="B126" s="1"/>
      <c r="C126" s="498">
        <v>4516003</v>
      </c>
      <c r="D126" s="459">
        <v>1476</v>
      </c>
      <c r="E126" s="524" t="s">
        <v>395</v>
      </c>
      <c r="F126" s="513">
        <v>12803811</v>
      </c>
      <c r="G126" s="525">
        <v>700</v>
      </c>
      <c r="H126" s="513">
        <v>4500727852</v>
      </c>
      <c r="I126" s="513">
        <v>1000212925</v>
      </c>
      <c r="J126" s="423" t="s">
        <v>396</v>
      </c>
      <c r="K126" s="526"/>
    </row>
    <row r="127" spans="1:11" x14ac:dyDescent="0.25">
      <c r="A127" s="641"/>
      <c r="B127" s="1"/>
      <c r="C127" s="522">
        <v>4501007</v>
      </c>
      <c r="D127" s="288" t="s">
        <v>397</v>
      </c>
      <c r="E127" s="523" t="s">
        <v>398</v>
      </c>
      <c r="F127" s="417">
        <v>12806911</v>
      </c>
      <c r="G127" s="418">
        <v>1324.13</v>
      </c>
      <c r="H127" s="417">
        <v>4500730611</v>
      </c>
      <c r="I127" s="417">
        <v>5000017411</v>
      </c>
      <c r="J127" s="423">
        <v>45425</v>
      </c>
      <c r="K127" s="423">
        <v>45432</v>
      </c>
    </row>
    <row r="128" spans="1:11" x14ac:dyDescent="0.25">
      <c r="A128" s="641"/>
      <c r="B128" s="1"/>
      <c r="C128" s="522">
        <v>4516003</v>
      </c>
      <c r="D128" s="288">
        <v>1534</v>
      </c>
      <c r="E128" s="523" t="s">
        <v>392</v>
      </c>
      <c r="F128" s="417">
        <v>12807231</v>
      </c>
      <c r="G128" s="418">
        <v>64.709999999999994</v>
      </c>
      <c r="H128" s="417">
        <v>4500730822</v>
      </c>
      <c r="I128" s="417">
        <v>5000018094</v>
      </c>
      <c r="J128" s="423">
        <v>45428</v>
      </c>
      <c r="K128" s="423">
        <v>45429</v>
      </c>
    </row>
    <row r="129" spans="1:11" x14ac:dyDescent="0.25">
      <c r="A129" s="641"/>
      <c r="B129" s="1"/>
      <c r="C129" s="522">
        <v>4513002</v>
      </c>
      <c r="D129" s="288">
        <v>1425</v>
      </c>
      <c r="E129" s="523" t="s">
        <v>399</v>
      </c>
      <c r="F129" s="417">
        <v>12807620</v>
      </c>
      <c r="G129" s="418">
        <v>187.49</v>
      </c>
      <c r="H129" s="417">
        <v>4500731234</v>
      </c>
      <c r="I129" s="417">
        <v>5000018093</v>
      </c>
      <c r="J129" s="423">
        <v>45428</v>
      </c>
      <c r="K129" s="423">
        <v>45429</v>
      </c>
    </row>
    <row r="130" spans="1:11" x14ac:dyDescent="0.25">
      <c r="A130" s="641"/>
      <c r="B130" s="1"/>
      <c r="C130" s="522">
        <v>4504001</v>
      </c>
      <c r="D130" s="288">
        <v>1476</v>
      </c>
      <c r="E130" s="523" t="s">
        <v>400</v>
      </c>
      <c r="F130" s="417">
        <v>12808412</v>
      </c>
      <c r="G130" s="418">
        <v>115.65</v>
      </c>
      <c r="H130" s="417">
        <v>4500732067</v>
      </c>
      <c r="I130" s="417">
        <v>5000019192</v>
      </c>
      <c r="J130" s="423">
        <v>45435</v>
      </c>
      <c r="K130" s="423">
        <v>45435</v>
      </c>
    </row>
    <row r="131" spans="1:11" x14ac:dyDescent="0.25">
      <c r="A131" s="641"/>
      <c r="B131" s="1"/>
      <c r="C131" s="522">
        <v>4516009</v>
      </c>
      <c r="D131" s="288">
        <v>1476</v>
      </c>
      <c r="E131" s="523" t="s">
        <v>401</v>
      </c>
      <c r="F131" s="417">
        <v>12806106</v>
      </c>
      <c r="G131" s="418">
        <v>1797.5</v>
      </c>
      <c r="H131" s="417">
        <v>4500730020</v>
      </c>
      <c r="I131" s="417">
        <v>1000213745</v>
      </c>
      <c r="J131" s="423">
        <v>45449</v>
      </c>
      <c r="K131" s="423">
        <v>45454</v>
      </c>
    </row>
    <row r="132" spans="1:11" x14ac:dyDescent="0.25">
      <c r="A132" s="641"/>
      <c r="B132" s="1"/>
      <c r="C132" s="522">
        <v>4505004</v>
      </c>
      <c r="D132" s="288">
        <v>1045</v>
      </c>
      <c r="E132" s="523" t="s">
        <v>402</v>
      </c>
      <c r="F132" s="417">
        <v>12806148</v>
      </c>
      <c r="G132" s="418">
        <v>4682.2299999999996</v>
      </c>
      <c r="H132" s="417">
        <v>4500730023</v>
      </c>
      <c r="I132" s="417">
        <v>1000213743</v>
      </c>
      <c r="J132" s="423">
        <v>45449</v>
      </c>
      <c r="K132" s="423">
        <v>45454</v>
      </c>
    </row>
    <row r="133" spans="1:11" x14ac:dyDescent="0.25">
      <c r="A133" s="641"/>
      <c r="B133" s="1"/>
      <c r="C133" s="522">
        <v>4504001</v>
      </c>
      <c r="D133" s="288">
        <v>6220</v>
      </c>
      <c r="E133" s="523" t="s">
        <v>403</v>
      </c>
      <c r="F133" s="417">
        <v>12806178</v>
      </c>
      <c r="G133" s="418">
        <v>6802.44</v>
      </c>
      <c r="H133" s="417">
        <v>4500730025</v>
      </c>
      <c r="I133" s="417">
        <v>1000213744</v>
      </c>
      <c r="J133" s="423">
        <v>45449</v>
      </c>
      <c r="K133" s="423">
        <v>45454</v>
      </c>
    </row>
    <row r="134" spans="1:11" x14ac:dyDescent="0.25">
      <c r="A134" s="641"/>
      <c r="B134" s="1"/>
      <c r="C134" s="522">
        <v>4516009</v>
      </c>
      <c r="D134" s="288">
        <v>1475</v>
      </c>
      <c r="E134" s="523" t="s">
        <v>404</v>
      </c>
      <c r="F134" s="417">
        <v>12808584</v>
      </c>
      <c r="G134" s="418">
        <v>2250</v>
      </c>
      <c r="H134" s="417">
        <v>4500732148</v>
      </c>
      <c r="I134" s="417">
        <v>1000213713</v>
      </c>
      <c r="J134" s="423">
        <v>45447</v>
      </c>
      <c r="K134" s="423">
        <v>45448</v>
      </c>
    </row>
    <row r="135" spans="1:11" x14ac:dyDescent="0.25">
      <c r="A135" s="641"/>
      <c r="B135" s="1"/>
      <c r="C135" s="522">
        <v>4516007</v>
      </c>
      <c r="D135" s="288">
        <v>1533</v>
      </c>
      <c r="E135" s="523" t="s">
        <v>405</v>
      </c>
      <c r="F135" s="417">
        <v>12805922</v>
      </c>
      <c r="G135" s="418">
        <v>7198.56</v>
      </c>
      <c r="H135" s="417">
        <v>4500732511</v>
      </c>
      <c r="I135" s="417" t="s">
        <v>406</v>
      </c>
      <c r="J135" s="423">
        <v>45453</v>
      </c>
      <c r="K135" s="423">
        <v>45453</v>
      </c>
    </row>
    <row r="136" spans="1:11" x14ac:dyDescent="0.25">
      <c r="A136" s="641"/>
      <c r="B136" s="1"/>
      <c r="C136" s="527">
        <v>4516009</v>
      </c>
      <c r="D136" s="288">
        <v>1476</v>
      </c>
      <c r="E136" s="523" t="s">
        <v>407</v>
      </c>
      <c r="F136" s="417">
        <v>12809058</v>
      </c>
      <c r="G136" s="418">
        <v>4560</v>
      </c>
      <c r="H136" s="417">
        <v>4500732523</v>
      </c>
      <c r="I136" s="417">
        <v>5000020808</v>
      </c>
      <c r="J136" s="423">
        <v>45450</v>
      </c>
      <c r="K136" s="423">
        <v>45450</v>
      </c>
    </row>
    <row r="137" spans="1:11" x14ac:dyDescent="0.25">
      <c r="A137" s="641"/>
      <c r="B137" s="1"/>
      <c r="C137" s="528">
        <v>4516009</v>
      </c>
      <c r="D137" s="522">
        <v>1476</v>
      </c>
      <c r="E137" s="523" t="s">
        <v>408</v>
      </c>
      <c r="F137" s="417">
        <v>12810637</v>
      </c>
      <c r="G137" s="418">
        <v>3541.39</v>
      </c>
      <c r="H137" s="417">
        <v>4500734197</v>
      </c>
      <c r="I137" s="417">
        <v>1000214874</v>
      </c>
      <c r="J137" s="423">
        <v>45464</v>
      </c>
      <c r="K137" s="423">
        <v>45467</v>
      </c>
    </row>
    <row r="138" spans="1:11" x14ac:dyDescent="0.25">
      <c r="A138" s="641"/>
      <c r="B138" s="1"/>
      <c r="C138" s="522">
        <v>4516007</v>
      </c>
      <c r="D138" s="288">
        <v>1533</v>
      </c>
      <c r="E138" s="523" t="s">
        <v>405</v>
      </c>
      <c r="F138" s="417">
        <v>12805924</v>
      </c>
      <c r="G138" s="418">
        <v>16827.84</v>
      </c>
      <c r="H138" s="417">
        <v>4500732315</v>
      </c>
      <c r="I138" s="417">
        <v>1000214824</v>
      </c>
      <c r="J138" s="423">
        <v>45463</v>
      </c>
      <c r="K138" s="423">
        <v>45464</v>
      </c>
    </row>
    <row r="139" spans="1:11" x14ac:dyDescent="0.25">
      <c r="A139" s="641"/>
      <c r="B139" s="1"/>
      <c r="C139" s="527">
        <v>4504003</v>
      </c>
      <c r="D139" s="288">
        <v>1075</v>
      </c>
      <c r="E139" s="523" t="s">
        <v>409</v>
      </c>
      <c r="F139" s="417">
        <v>12809208</v>
      </c>
      <c r="G139" s="418">
        <v>4648.8100000000004</v>
      </c>
      <c r="H139" s="417">
        <v>4500732767</v>
      </c>
      <c r="I139" s="529">
        <v>1000215604</v>
      </c>
      <c r="J139" s="423">
        <v>45483</v>
      </c>
      <c r="K139" s="423">
        <v>45484</v>
      </c>
    </row>
    <row r="140" spans="1:11" x14ac:dyDescent="0.25">
      <c r="A140" s="641"/>
      <c r="C140" s="530" t="s">
        <v>410</v>
      </c>
      <c r="D140" s="288" t="s">
        <v>411</v>
      </c>
      <c r="E140" s="523" t="s">
        <v>412</v>
      </c>
      <c r="F140" s="417">
        <v>12809210</v>
      </c>
      <c r="G140" s="418">
        <v>5990</v>
      </c>
      <c r="H140" s="417" t="s">
        <v>413</v>
      </c>
      <c r="I140" s="417">
        <v>5000022211</v>
      </c>
      <c r="J140" s="423">
        <v>45474</v>
      </c>
      <c r="K140" s="423">
        <v>45476</v>
      </c>
    </row>
    <row r="141" spans="1:11" x14ac:dyDescent="0.25">
      <c r="A141" s="641"/>
      <c r="C141" s="522">
        <v>4513022</v>
      </c>
      <c r="D141" s="288" t="s">
        <v>393</v>
      </c>
      <c r="E141" s="523" t="s">
        <v>414</v>
      </c>
      <c r="F141" s="417">
        <v>12806117</v>
      </c>
      <c r="G141" s="418">
        <v>5961.6</v>
      </c>
      <c r="H141" s="417">
        <v>4500730066</v>
      </c>
      <c r="I141" s="417">
        <v>1000214820</v>
      </c>
      <c r="J141" s="423">
        <v>45464</v>
      </c>
      <c r="K141" s="423">
        <v>45471</v>
      </c>
    </row>
    <row r="142" spans="1:11" x14ac:dyDescent="0.25">
      <c r="A142" s="641"/>
      <c r="C142" s="531">
        <v>4504001</v>
      </c>
      <c r="D142" s="288">
        <v>1476</v>
      </c>
      <c r="E142" s="268" t="s">
        <v>415</v>
      </c>
      <c r="F142" s="417">
        <v>12811907</v>
      </c>
      <c r="G142" s="418">
        <v>636.76</v>
      </c>
      <c r="H142" s="417">
        <v>4500735382</v>
      </c>
      <c r="I142" s="417">
        <v>5000025200</v>
      </c>
      <c r="J142" s="423">
        <v>45483</v>
      </c>
      <c r="K142" s="423">
        <v>45497</v>
      </c>
    </row>
    <row r="143" spans="1:11" x14ac:dyDescent="0.25">
      <c r="A143" s="641"/>
      <c r="C143" s="288">
        <v>4513002</v>
      </c>
      <c r="D143" s="459">
        <v>1476</v>
      </c>
      <c r="E143" s="260" t="s">
        <v>416</v>
      </c>
      <c r="F143" s="417">
        <v>12812770</v>
      </c>
      <c r="G143" s="418">
        <v>256.70999999999998</v>
      </c>
      <c r="H143" s="417">
        <v>4500736400</v>
      </c>
      <c r="I143" s="417">
        <v>5000025941</v>
      </c>
      <c r="J143" s="423">
        <v>45489</v>
      </c>
      <c r="K143" s="423">
        <v>45491</v>
      </c>
    </row>
    <row r="144" spans="1:11" x14ac:dyDescent="0.25">
      <c r="A144" s="641"/>
      <c r="C144" s="532">
        <v>4504001</v>
      </c>
      <c r="D144" s="459">
        <v>1476</v>
      </c>
      <c r="E144" s="260" t="s">
        <v>417</v>
      </c>
      <c r="F144" s="502">
        <v>12813868</v>
      </c>
      <c r="G144" s="533">
        <v>181.92</v>
      </c>
      <c r="H144" s="502">
        <v>4500737454</v>
      </c>
      <c r="I144" s="502">
        <v>5000028531</v>
      </c>
      <c r="J144" s="499">
        <v>45510</v>
      </c>
      <c r="K144" s="499">
        <v>45513</v>
      </c>
    </row>
    <row r="145" spans="1:11" x14ac:dyDescent="0.25">
      <c r="A145" s="641"/>
      <c r="C145" s="288">
        <v>4513002</v>
      </c>
      <c r="D145" s="288">
        <v>1533</v>
      </c>
      <c r="E145" s="268" t="s">
        <v>418</v>
      </c>
      <c r="F145" s="502">
        <v>12815613</v>
      </c>
      <c r="G145" s="534" t="s">
        <v>419</v>
      </c>
      <c r="H145" s="417">
        <v>4500739148</v>
      </c>
      <c r="I145" s="417">
        <v>5000030379</v>
      </c>
      <c r="J145" s="499">
        <v>45523</v>
      </c>
      <c r="K145" s="499">
        <v>45524</v>
      </c>
    </row>
    <row r="146" spans="1:11" x14ac:dyDescent="0.25">
      <c r="A146" s="641"/>
      <c r="C146" s="288">
        <v>4516007</v>
      </c>
      <c r="D146" s="288">
        <v>1476</v>
      </c>
      <c r="E146" s="268" t="s">
        <v>420</v>
      </c>
      <c r="F146" s="417">
        <v>12814288</v>
      </c>
      <c r="G146" s="535">
        <v>18200.68</v>
      </c>
      <c r="H146" s="417">
        <v>4500738042</v>
      </c>
      <c r="I146" s="417">
        <v>1000217738</v>
      </c>
      <c r="J146" s="499" t="s">
        <v>421</v>
      </c>
      <c r="K146" s="423">
        <v>45520</v>
      </c>
    </row>
    <row r="147" spans="1:11" x14ac:dyDescent="0.25">
      <c r="A147" s="641"/>
      <c r="C147" s="288">
        <v>4513002</v>
      </c>
      <c r="D147" s="288" t="s">
        <v>422</v>
      </c>
      <c r="E147" s="268" t="s">
        <v>423</v>
      </c>
      <c r="F147" s="417">
        <v>12814772</v>
      </c>
      <c r="G147" s="417">
        <v>301.58999999999997</v>
      </c>
      <c r="H147" s="417">
        <v>4500738664</v>
      </c>
      <c r="I147" s="417">
        <v>5000030990</v>
      </c>
      <c r="J147" s="423">
        <v>45526</v>
      </c>
      <c r="K147" s="423">
        <v>45527</v>
      </c>
    </row>
    <row r="148" spans="1:11" x14ac:dyDescent="0.25">
      <c r="A148" s="641"/>
      <c r="C148" s="522">
        <v>4516003</v>
      </c>
      <c r="D148" s="288" t="s">
        <v>424</v>
      </c>
      <c r="E148" s="268" t="s">
        <v>394</v>
      </c>
      <c r="F148" s="417">
        <v>12814999</v>
      </c>
      <c r="G148" s="418">
        <v>399.9</v>
      </c>
      <c r="H148" s="417">
        <v>4500738664</v>
      </c>
      <c r="I148" s="417">
        <v>5000030990</v>
      </c>
      <c r="J148" s="423">
        <v>45526</v>
      </c>
      <c r="K148" s="423">
        <v>45527</v>
      </c>
    </row>
    <row r="149" spans="1:11" x14ac:dyDescent="0.25">
      <c r="A149" s="641"/>
      <c r="C149" s="288">
        <v>4516009</v>
      </c>
      <c r="D149" s="288" t="s">
        <v>425</v>
      </c>
      <c r="E149" s="268" t="s">
        <v>426</v>
      </c>
      <c r="F149" s="417">
        <v>12812132</v>
      </c>
      <c r="G149" s="417" t="s">
        <v>427</v>
      </c>
      <c r="H149" s="417">
        <v>4500736125</v>
      </c>
      <c r="I149" s="536"/>
      <c r="J149" s="499"/>
      <c r="K149" s="423"/>
    </row>
    <row r="150" spans="1:11" x14ac:dyDescent="0.25">
      <c r="A150" s="641"/>
      <c r="C150" s="522">
        <v>4516005</v>
      </c>
      <c r="D150" s="288">
        <v>1476</v>
      </c>
      <c r="E150" s="523" t="s">
        <v>428</v>
      </c>
      <c r="F150" s="417">
        <v>12813043</v>
      </c>
      <c r="G150" s="418">
        <v>1080</v>
      </c>
      <c r="H150" s="417">
        <v>4500736506</v>
      </c>
      <c r="I150" s="417">
        <v>1000219530</v>
      </c>
      <c r="J150" s="423"/>
      <c r="K150" s="423"/>
    </row>
    <row r="151" spans="1:11" x14ac:dyDescent="0.25">
      <c r="C151" s="288">
        <v>4513002</v>
      </c>
      <c r="D151" s="288">
        <v>1476</v>
      </c>
      <c r="E151" s="268" t="s">
        <v>388</v>
      </c>
      <c r="F151" s="417">
        <v>12813305</v>
      </c>
      <c r="G151" s="418">
        <v>120.65</v>
      </c>
      <c r="H151" s="417">
        <v>4500736896</v>
      </c>
      <c r="I151" s="537"/>
      <c r="J151" s="499"/>
      <c r="K151" s="423"/>
    </row>
    <row r="152" spans="1:11" x14ac:dyDescent="0.25">
      <c r="C152" s="288">
        <v>4516009</v>
      </c>
      <c r="D152" s="538">
        <v>1476</v>
      </c>
      <c r="E152" s="539" t="s">
        <v>429</v>
      </c>
      <c r="F152" s="537">
        <v>12811790</v>
      </c>
      <c r="G152" s="540" t="s">
        <v>430</v>
      </c>
      <c r="H152" s="537">
        <v>4500735374</v>
      </c>
      <c r="I152" s="537">
        <v>1000220215</v>
      </c>
      <c r="J152" s="423"/>
      <c r="K152" s="423"/>
    </row>
    <row r="153" spans="1:11" x14ac:dyDescent="0.25">
      <c r="C153" s="288">
        <v>4513002</v>
      </c>
      <c r="D153" s="288">
        <v>1526</v>
      </c>
      <c r="E153" s="268" t="s">
        <v>431</v>
      </c>
      <c r="F153" s="417">
        <v>12815501</v>
      </c>
      <c r="G153" s="418">
        <v>228</v>
      </c>
      <c r="H153" s="417">
        <v>4500739962</v>
      </c>
      <c r="I153" s="417">
        <v>5000034790</v>
      </c>
      <c r="J153" s="499"/>
      <c r="K153" s="423"/>
    </row>
    <row r="154" spans="1:11" x14ac:dyDescent="0.25">
      <c r="C154" s="522">
        <v>4516009</v>
      </c>
      <c r="D154" s="288">
        <v>1476</v>
      </c>
      <c r="E154" s="523" t="s">
        <v>432</v>
      </c>
      <c r="F154" s="541" t="s">
        <v>433</v>
      </c>
      <c r="G154" s="542" t="s">
        <v>434</v>
      </c>
      <c r="H154" s="541">
        <v>4500736417</v>
      </c>
      <c r="I154" s="541">
        <v>5105695669</v>
      </c>
      <c r="J154" s="423"/>
      <c r="K154" s="423"/>
    </row>
    <row r="155" spans="1:11" x14ac:dyDescent="0.25">
      <c r="C155" s="288">
        <v>4516007</v>
      </c>
      <c r="D155" s="288" t="s">
        <v>435</v>
      </c>
      <c r="E155" s="268" t="s">
        <v>436</v>
      </c>
      <c r="F155" s="543">
        <v>12814157</v>
      </c>
      <c r="G155" s="418" t="s">
        <v>437</v>
      </c>
      <c r="H155" s="417">
        <v>4500738112</v>
      </c>
      <c r="I155" s="417">
        <v>1000217958</v>
      </c>
      <c r="J155" s="499"/>
      <c r="K155" s="423"/>
    </row>
    <row r="156" spans="1:11" x14ac:dyDescent="0.25">
      <c r="C156" s="288">
        <v>4516007</v>
      </c>
      <c r="D156" s="459">
        <v>1476</v>
      </c>
      <c r="E156" s="268" t="s">
        <v>438</v>
      </c>
      <c r="F156" s="543">
        <v>12814156</v>
      </c>
      <c r="G156" s="418" t="s">
        <v>439</v>
      </c>
      <c r="H156" s="417">
        <v>4500738085</v>
      </c>
      <c r="I156" s="417">
        <v>1000217626</v>
      </c>
      <c r="J156" s="423" t="s">
        <v>440</v>
      </c>
      <c r="K156" s="423"/>
    </row>
    <row r="157" spans="1:11" x14ac:dyDescent="0.25">
      <c r="C157" s="288">
        <v>4516007</v>
      </c>
      <c r="D157" s="288" t="s">
        <v>441</v>
      </c>
      <c r="E157" s="268" t="s">
        <v>442</v>
      </c>
      <c r="F157" s="543" t="s">
        <v>443</v>
      </c>
      <c r="G157" s="418" t="s">
        <v>444</v>
      </c>
      <c r="H157" s="417" t="s">
        <v>445</v>
      </c>
      <c r="I157" s="417" t="s">
        <v>446</v>
      </c>
      <c r="J157" s="499"/>
      <c r="K157" s="423"/>
    </row>
    <row r="158" spans="1:11" x14ac:dyDescent="0.25">
      <c r="C158" s="288">
        <v>4516007</v>
      </c>
      <c r="D158" s="459">
        <v>1476</v>
      </c>
      <c r="E158" s="268" t="s">
        <v>447</v>
      </c>
      <c r="F158" s="543" t="s">
        <v>448</v>
      </c>
      <c r="G158" s="418" t="s">
        <v>449</v>
      </c>
      <c r="H158" s="417">
        <v>4500739627</v>
      </c>
      <c r="I158" s="502">
        <v>1000219679</v>
      </c>
      <c r="J158" s="423"/>
      <c r="K158" s="423"/>
    </row>
    <row r="159" spans="1:11" x14ac:dyDescent="0.25">
      <c r="C159" s="288">
        <v>4516007</v>
      </c>
      <c r="D159" s="288">
        <v>6441</v>
      </c>
      <c r="E159" s="268" t="s">
        <v>450</v>
      </c>
      <c r="F159" s="236" t="s">
        <v>451</v>
      </c>
      <c r="G159" s="236" t="s">
        <v>452</v>
      </c>
      <c r="H159" s="236">
        <v>4500739631</v>
      </c>
      <c r="I159" s="236">
        <v>1000219678</v>
      </c>
      <c r="J159" s="90"/>
      <c r="K159" s="90"/>
    </row>
    <row r="160" spans="1:11" x14ac:dyDescent="0.25">
      <c r="C160" s="288">
        <v>4516009</v>
      </c>
      <c r="D160" s="459">
        <v>1476</v>
      </c>
      <c r="E160" s="268" t="s">
        <v>308</v>
      </c>
      <c r="F160" s="236">
        <v>12814237</v>
      </c>
      <c r="G160" s="544">
        <v>4665</v>
      </c>
      <c r="H160" s="236">
        <v>4500737980</v>
      </c>
      <c r="I160" s="236"/>
      <c r="J160" s="90"/>
      <c r="K160" s="90"/>
    </row>
    <row r="161" spans="3:11" x14ac:dyDescent="0.25">
      <c r="C161" s="522">
        <v>4516003</v>
      </c>
      <c r="D161" s="459">
        <v>1533</v>
      </c>
      <c r="E161" s="260" t="s">
        <v>453</v>
      </c>
      <c r="F161" s="236">
        <v>12819747</v>
      </c>
      <c r="G161" s="544"/>
      <c r="H161" s="236">
        <v>4500742527</v>
      </c>
      <c r="I161" s="236">
        <v>5000036592</v>
      </c>
      <c r="J161" s="90">
        <v>45573</v>
      </c>
      <c r="K161" s="90"/>
    </row>
    <row r="162" spans="3:11" x14ac:dyDescent="0.25">
      <c r="C162" s="1"/>
      <c r="E162" s="260" t="s">
        <v>454</v>
      </c>
      <c r="F162" s="90" t="s">
        <v>455</v>
      </c>
      <c r="G162" s="545"/>
      <c r="H162" s="90"/>
      <c r="I162" s="90"/>
      <c r="J162" s="90"/>
      <c r="K162" s="90"/>
    </row>
    <row r="163" spans="3:11" x14ac:dyDescent="0.25">
      <c r="D163" s="1"/>
      <c r="E163" s="272" t="s">
        <v>456</v>
      </c>
      <c r="F163" s="272" t="s">
        <v>457</v>
      </c>
    </row>
    <row r="164" spans="3:11" x14ac:dyDescent="0.25">
      <c r="F164" s="271">
        <v>12826078</v>
      </c>
    </row>
    <row r="165" spans="3:11" x14ac:dyDescent="0.25">
      <c r="C165" s="522"/>
      <c r="D165" s="459"/>
      <c r="E165" s="260" t="s">
        <v>458</v>
      </c>
      <c r="F165" s="90" t="s">
        <v>459</v>
      </c>
      <c r="G165" s="545"/>
      <c r="H165" s="90" t="s">
        <v>460</v>
      </c>
      <c r="I165" s="90" t="s">
        <v>461</v>
      </c>
      <c r="J165" s="90"/>
      <c r="K165" s="90"/>
    </row>
  </sheetData>
  <autoFilter ref="A1:L150" xr:uid="{A145CF0C-794D-470C-A2E8-0234C30F1CCA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14">
    <mergeCell ref="B1:K1"/>
    <mergeCell ref="B2:E2"/>
    <mergeCell ref="F2:K2"/>
    <mergeCell ref="A4:A34"/>
    <mergeCell ref="I9:K9"/>
    <mergeCell ref="I11:K11"/>
    <mergeCell ref="I14:K14"/>
    <mergeCell ref="I18:K18"/>
    <mergeCell ref="I32:K32"/>
    <mergeCell ref="A35:A65"/>
    <mergeCell ref="I40:K40"/>
    <mergeCell ref="I48:K48"/>
    <mergeCell ref="A66:A108"/>
    <mergeCell ref="A109:A150"/>
  </mergeCells>
  <conditionalFormatting sqref="F4:F49 F95:F110">
    <cfRule type="cellIs" dxfId="39" priority="23" operator="greaterThan">
      <formula>11000000</formula>
    </cfRule>
  </conditionalFormatting>
  <conditionalFormatting sqref="F53">
    <cfRule type="cellIs" dxfId="38" priority="19" operator="greaterThan">
      <formula>11000000</formula>
    </cfRule>
  </conditionalFormatting>
  <conditionalFormatting sqref="F61:F78">
    <cfRule type="cellIs" dxfId="37" priority="7" operator="greaterThan">
      <formula>11000000</formula>
    </cfRule>
  </conditionalFormatting>
  <conditionalFormatting sqref="F81:F93">
    <cfRule type="cellIs" dxfId="36" priority="5" operator="greaterThan">
      <formula>11000000</formula>
    </cfRule>
  </conditionalFormatting>
  <conditionalFormatting sqref="G4:G19">
    <cfRule type="cellIs" dxfId="35" priority="30" operator="greaterThan">
      <formula>10</formula>
    </cfRule>
  </conditionalFormatting>
  <conditionalFormatting sqref="G21:G33">
    <cfRule type="cellIs" dxfId="34" priority="27" operator="greaterThan">
      <formula>9999.99</formula>
    </cfRule>
    <cfRule type="cellIs" dxfId="33" priority="28" operator="greaterThan">
      <formula>10</formula>
    </cfRule>
  </conditionalFormatting>
  <conditionalFormatting sqref="G34:G49">
    <cfRule type="cellIs" dxfId="32" priority="20" operator="greaterThan">
      <formula>10</formula>
    </cfRule>
  </conditionalFormatting>
  <conditionalFormatting sqref="G52:G59">
    <cfRule type="cellIs" dxfId="31" priority="14" operator="greaterThan">
      <formula>10</formula>
    </cfRule>
  </conditionalFormatting>
  <conditionalFormatting sqref="G61:G62">
    <cfRule type="cellIs" dxfId="30" priority="11" operator="greaterThan">
      <formula>10</formula>
    </cfRule>
  </conditionalFormatting>
  <conditionalFormatting sqref="G88">
    <cfRule type="cellIs" dxfId="29" priority="3" operator="greaterThan">
      <formula>9999.99</formula>
    </cfRule>
    <cfRule type="cellIs" dxfId="28" priority="4" operator="greaterThan">
      <formula>10</formula>
    </cfRule>
  </conditionalFormatting>
  <conditionalFormatting sqref="H4:H19">
    <cfRule type="cellIs" dxfId="27" priority="35" operator="greaterThan">
      <formula>4400000000</formula>
    </cfRule>
  </conditionalFormatting>
  <conditionalFormatting sqref="H20">
    <cfRule type="cellIs" dxfId="26" priority="36" operator="greaterThan">
      <formula>10</formula>
    </cfRule>
  </conditionalFormatting>
  <conditionalFormatting sqref="H21:H50">
    <cfRule type="cellIs" dxfId="25" priority="22" operator="greaterThan">
      <formula>4400000000</formula>
    </cfRule>
  </conditionalFormatting>
  <conditionalFormatting sqref="H53">
    <cfRule type="cellIs" dxfId="24" priority="18" operator="greaterThan">
      <formula>4400000000</formula>
    </cfRule>
  </conditionalFormatting>
  <conditionalFormatting sqref="H61:H62">
    <cfRule type="cellIs" dxfId="23" priority="12" operator="greaterThan">
      <formula>4400000000</formula>
    </cfRule>
  </conditionalFormatting>
  <conditionalFormatting sqref="H88">
    <cfRule type="cellIs" dxfId="22" priority="2" operator="greaterThan">
      <formula>4400000000</formula>
    </cfRule>
  </conditionalFormatting>
  <conditionalFormatting sqref="H52:I58 H59:H60">
    <cfRule type="cellIs" dxfId="21" priority="13" operator="greaterThan">
      <formula>100000000</formula>
    </cfRule>
  </conditionalFormatting>
  <conditionalFormatting sqref="I7">
    <cfRule type="cellIs" dxfId="20" priority="37" operator="greaterThan">
      <formula>5000000000</formula>
    </cfRule>
  </conditionalFormatting>
  <conditionalFormatting sqref="I20">
    <cfRule type="cellIs" dxfId="19" priority="39" operator="greaterThan">
      <formula>4400000000</formula>
    </cfRule>
  </conditionalFormatting>
  <conditionalFormatting sqref="I21:I33">
    <cfRule type="cellIs" dxfId="18" priority="25" operator="greaterThan">
      <formula>100000000</formula>
    </cfRule>
  </conditionalFormatting>
  <conditionalFormatting sqref="I46:I48">
    <cfRule type="cellIs" dxfId="17" priority="16" operator="greaterThan">
      <formula>100000000</formula>
    </cfRule>
  </conditionalFormatting>
  <conditionalFormatting sqref="I53">
    <cfRule type="cellIs" dxfId="16" priority="17" operator="greaterThan">
      <formula>100000000</formula>
    </cfRule>
  </conditionalFormatting>
  <conditionalFormatting sqref="I61:I62">
    <cfRule type="cellIs" dxfId="15" priority="10" operator="greaterThan">
      <formula>100000000</formula>
    </cfRule>
  </conditionalFormatting>
  <conditionalFormatting sqref="I4:J5">
    <cfRule type="cellIs" dxfId="14" priority="34" operator="greaterThan">
      <formula>100000000</formula>
    </cfRule>
  </conditionalFormatting>
  <conditionalFormatting sqref="I88:K88">
    <cfRule type="cellIs" dxfId="13" priority="1" operator="greaterThan">
      <formula>5000000000</formula>
    </cfRule>
  </conditionalFormatting>
  <conditionalFormatting sqref="J7">
    <cfRule type="cellIs" dxfId="12" priority="32" operator="greaterThan">
      <formula>100000000</formula>
    </cfRule>
  </conditionalFormatting>
  <conditionalFormatting sqref="J46:J47">
    <cfRule type="cellIs" dxfId="11" priority="15" operator="greaterThan">
      <formula>43551</formula>
    </cfRule>
  </conditionalFormatting>
  <conditionalFormatting sqref="J21:K31">
    <cfRule type="cellIs" dxfId="10" priority="29" operator="greaterThan">
      <formula>100000000</formula>
    </cfRule>
  </conditionalFormatting>
  <conditionalFormatting sqref="J33:K33">
    <cfRule type="cellIs" dxfId="9" priority="26" operator="greaterThan">
      <formula>100000000</formula>
    </cfRule>
  </conditionalFormatting>
  <conditionalFormatting sqref="J49:K59">
    <cfRule type="cellIs" dxfId="8" priority="40" operator="greaterThan">
      <formula>43551</formula>
    </cfRule>
  </conditionalFormatting>
  <conditionalFormatting sqref="J61:K62">
    <cfRule type="cellIs" dxfId="7" priority="9" operator="greaterThan">
      <formula>43551</formula>
    </cfRule>
  </conditionalFormatting>
  <conditionalFormatting sqref="K4:K8">
    <cfRule type="cellIs" dxfId="6" priority="33" operator="greaterThan">
      <formula>43551</formula>
    </cfRule>
  </conditionalFormatting>
  <conditionalFormatting sqref="K10 K12:K13">
    <cfRule type="cellIs" dxfId="5" priority="38" operator="greaterThan">
      <formula>43551</formula>
    </cfRule>
  </conditionalFormatting>
  <conditionalFormatting sqref="K16:K17">
    <cfRule type="cellIs" dxfId="4" priority="31" operator="greaterThan">
      <formula>43551</formula>
    </cfRule>
  </conditionalFormatting>
  <conditionalFormatting sqref="K35:K39">
    <cfRule type="cellIs" dxfId="3" priority="24" operator="greaterThan">
      <formula>43551</formula>
    </cfRule>
  </conditionalFormatting>
  <conditionalFormatting sqref="K41:K47">
    <cfRule type="cellIs" dxfId="2" priority="21" operator="greaterThan">
      <formula>43551</formula>
    </cfRule>
  </conditionalFormatting>
  <conditionalFormatting sqref="K66:K67">
    <cfRule type="cellIs" dxfId="1" priority="8" operator="greaterThan">
      <formula>43551</formula>
    </cfRule>
  </conditionalFormatting>
  <conditionalFormatting sqref="K69:K70">
    <cfRule type="cellIs" dxfId="0" priority="6" operator="greaterThan">
      <formula>43551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CD01-88C4-4ECD-A104-FA5A30213BD1}">
  <sheetPr codeName="Planilha7"/>
  <dimension ref="A1:Q35"/>
  <sheetViews>
    <sheetView zoomScale="90" zoomScaleNormal="90" workbookViewId="0">
      <selection activeCell="C5" sqref="C5:J5"/>
    </sheetView>
  </sheetViews>
  <sheetFormatPr defaultRowHeight="15" x14ac:dyDescent="0.25"/>
  <cols>
    <col min="15" max="15" width="9.85546875" bestFit="1" customWidth="1"/>
    <col min="16" max="16" width="8.5703125" bestFit="1" customWidth="1"/>
  </cols>
  <sheetData>
    <row r="1" spans="1:15" ht="15.75" thickBot="1" x14ac:dyDescent="0.3">
      <c r="A1" s="649"/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</row>
    <row r="2" spans="1:15" x14ac:dyDescent="0.25">
      <c r="A2" s="662"/>
      <c r="B2" s="672" t="s">
        <v>462</v>
      </c>
      <c r="C2" s="673"/>
      <c r="D2" s="673"/>
      <c r="E2" s="673"/>
      <c r="F2" s="673"/>
      <c r="G2" s="673"/>
      <c r="H2" s="673"/>
      <c r="I2" s="673"/>
      <c r="J2" s="674"/>
      <c r="K2" s="649"/>
      <c r="L2" s="649"/>
    </row>
    <row r="3" spans="1:15" x14ac:dyDescent="0.25">
      <c r="A3" s="662"/>
      <c r="B3" s="663" t="s">
        <v>463</v>
      </c>
      <c r="C3" s="664"/>
      <c r="D3" s="664"/>
      <c r="E3" s="664"/>
      <c r="F3" s="664"/>
      <c r="G3" s="664"/>
      <c r="H3" s="664"/>
      <c r="I3" s="664"/>
      <c r="J3" s="665"/>
      <c r="K3" s="649"/>
      <c r="L3" s="649"/>
    </row>
    <row r="4" spans="1:15" x14ac:dyDescent="0.25">
      <c r="A4" s="662"/>
      <c r="B4" s="546" t="s">
        <v>464</v>
      </c>
      <c r="C4" s="666" t="s">
        <v>465</v>
      </c>
      <c r="D4" s="666"/>
      <c r="E4" s="666"/>
      <c r="F4" s="666"/>
      <c r="G4" s="666"/>
      <c r="H4" s="666"/>
      <c r="I4" s="666"/>
      <c r="J4" s="675"/>
      <c r="K4" s="649"/>
      <c r="L4" s="649"/>
    </row>
    <row r="5" spans="1:15" x14ac:dyDescent="0.25">
      <c r="A5" s="662"/>
      <c r="B5" s="546" t="s">
        <v>466</v>
      </c>
      <c r="C5" s="667" t="s">
        <v>467</v>
      </c>
      <c r="D5" s="667"/>
      <c r="E5" s="667"/>
      <c r="F5" s="667"/>
      <c r="G5" s="667"/>
      <c r="H5" s="667"/>
      <c r="I5" s="667"/>
      <c r="J5" s="668"/>
      <c r="K5" s="649"/>
      <c r="L5" s="649"/>
    </row>
    <row r="6" spans="1:15" x14ac:dyDescent="0.25">
      <c r="A6" s="662"/>
      <c r="B6" s="663" t="s">
        <v>468</v>
      </c>
      <c r="C6" s="664"/>
      <c r="D6" s="664"/>
      <c r="E6" s="664"/>
      <c r="F6" s="664"/>
      <c r="G6" s="664"/>
      <c r="H6" s="664"/>
      <c r="I6" s="664"/>
      <c r="J6" s="665"/>
      <c r="K6" s="649"/>
      <c r="L6" s="649"/>
    </row>
    <row r="7" spans="1:15" x14ac:dyDescent="0.25">
      <c r="A7" s="662"/>
      <c r="B7" s="546" t="s">
        <v>464</v>
      </c>
      <c r="C7" s="676" t="s">
        <v>469</v>
      </c>
      <c r="D7" s="676"/>
      <c r="E7" s="676"/>
      <c r="F7" s="676"/>
      <c r="G7" s="676"/>
      <c r="H7" s="676"/>
      <c r="I7" s="676"/>
      <c r="J7" s="677"/>
      <c r="K7" s="649"/>
      <c r="L7" s="649"/>
    </row>
    <row r="8" spans="1:15" x14ac:dyDescent="0.25">
      <c r="A8" s="662"/>
      <c r="B8" s="546" t="s">
        <v>466</v>
      </c>
      <c r="C8" s="647" t="s">
        <v>470</v>
      </c>
      <c r="D8" s="647"/>
      <c r="E8" s="647"/>
      <c r="F8" s="647"/>
      <c r="G8" s="647"/>
      <c r="H8" s="647"/>
      <c r="I8" s="647"/>
      <c r="J8" s="648"/>
      <c r="K8" s="649"/>
      <c r="L8" s="649"/>
    </row>
    <row r="9" spans="1:15" x14ac:dyDescent="0.25">
      <c r="A9" s="662"/>
      <c r="B9" s="663" t="s">
        <v>471</v>
      </c>
      <c r="C9" s="664"/>
      <c r="D9" s="664"/>
      <c r="E9" s="664"/>
      <c r="F9" s="664"/>
      <c r="G9" s="664"/>
      <c r="H9" s="664"/>
      <c r="I9" s="664"/>
      <c r="J9" s="665"/>
      <c r="K9" s="649"/>
      <c r="L9" s="649"/>
    </row>
    <row r="10" spans="1:15" x14ac:dyDescent="0.25">
      <c r="A10" s="662"/>
      <c r="B10" s="546" t="s">
        <v>464</v>
      </c>
      <c r="C10" s="678">
        <v>29799921000148</v>
      </c>
      <c r="D10" s="678"/>
      <c r="E10" s="678"/>
      <c r="F10" s="678"/>
      <c r="G10" s="678"/>
      <c r="H10" s="678"/>
      <c r="I10" s="678"/>
      <c r="J10" s="679"/>
      <c r="K10" s="649"/>
      <c r="L10" s="649"/>
    </row>
    <row r="11" spans="1:15" x14ac:dyDescent="0.25">
      <c r="A11" s="662"/>
      <c r="B11" s="546" t="s">
        <v>466</v>
      </c>
      <c r="C11" s="666" t="s">
        <v>472</v>
      </c>
      <c r="D11" s="666"/>
      <c r="E11" s="666"/>
      <c r="F11" s="666"/>
      <c r="G11" s="666"/>
      <c r="H11" s="666"/>
      <c r="I11" s="666"/>
      <c r="J11" s="675"/>
      <c r="K11" s="649"/>
      <c r="L11" s="649"/>
    </row>
    <row r="12" spans="1:15" x14ac:dyDescent="0.25">
      <c r="A12" s="662"/>
      <c r="B12" s="663" t="s">
        <v>473</v>
      </c>
      <c r="C12" s="664"/>
      <c r="D12" s="664"/>
      <c r="E12" s="664"/>
      <c r="F12" s="664"/>
      <c r="G12" s="664"/>
      <c r="H12" s="664"/>
      <c r="I12" s="664"/>
      <c r="J12" s="665"/>
      <c r="K12" s="649"/>
      <c r="L12" s="649"/>
      <c r="O12" s="274"/>
    </row>
    <row r="13" spans="1:15" x14ac:dyDescent="0.25">
      <c r="A13" s="662"/>
      <c r="B13" s="546" t="s">
        <v>464</v>
      </c>
      <c r="C13" s="680">
        <v>25478975000150</v>
      </c>
      <c r="D13" s="680"/>
      <c r="E13" s="680"/>
      <c r="F13" s="680"/>
      <c r="G13" s="680"/>
      <c r="H13" s="680"/>
      <c r="I13" s="680"/>
      <c r="J13" s="681"/>
      <c r="K13" s="649"/>
      <c r="L13" s="649"/>
      <c r="O13" s="274"/>
    </row>
    <row r="14" spans="1:15" x14ac:dyDescent="0.25">
      <c r="A14" s="662"/>
      <c r="B14" s="546" t="s">
        <v>466</v>
      </c>
      <c r="C14" s="647" t="s">
        <v>474</v>
      </c>
      <c r="D14" s="649"/>
      <c r="E14" s="649"/>
      <c r="F14" s="649"/>
      <c r="G14" s="649"/>
      <c r="H14" s="649"/>
      <c r="I14" s="649"/>
      <c r="J14" s="662"/>
      <c r="K14" s="649"/>
      <c r="L14" s="649"/>
    </row>
    <row r="15" spans="1:15" x14ac:dyDescent="0.25">
      <c r="A15" s="662"/>
      <c r="B15" s="663" t="s">
        <v>475</v>
      </c>
      <c r="C15" s="664"/>
      <c r="D15" s="664"/>
      <c r="E15" s="664"/>
      <c r="F15" s="664"/>
      <c r="G15" s="664"/>
      <c r="H15" s="664"/>
      <c r="I15" s="664"/>
      <c r="J15" s="665"/>
      <c r="K15" s="649"/>
      <c r="L15" s="649"/>
    </row>
    <row r="16" spans="1:15" x14ac:dyDescent="0.25">
      <c r="A16" s="662"/>
      <c r="B16" s="546" t="s">
        <v>464</v>
      </c>
      <c r="C16" s="666" t="s">
        <v>476</v>
      </c>
      <c r="D16" s="667"/>
      <c r="E16" s="667"/>
      <c r="F16" s="667"/>
      <c r="G16" s="667"/>
      <c r="H16" s="667"/>
      <c r="I16" s="667"/>
      <c r="J16" s="668"/>
      <c r="K16" s="649"/>
      <c r="L16" s="649"/>
    </row>
    <row r="17" spans="1:17" x14ac:dyDescent="0.25">
      <c r="A17" s="662"/>
      <c r="B17" s="546" t="s">
        <v>477</v>
      </c>
      <c r="C17" s="669" t="s">
        <v>478</v>
      </c>
      <c r="D17" s="670"/>
      <c r="E17" s="670"/>
      <c r="F17" s="670"/>
      <c r="G17" s="670"/>
      <c r="H17" s="670"/>
      <c r="I17" s="670"/>
      <c r="J17" s="671"/>
      <c r="K17" s="649"/>
      <c r="L17" s="649"/>
    </row>
    <row r="18" spans="1:17" hidden="1" x14ac:dyDescent="0.25">
      <c r="A18" s="662"/>
      <c r="B18" s="663" t="s">
        <v>479</v>
      </c>
      <c r="C18" s="664"/>
      <c r="D18" s="664"/>
      <c r="E18" s="664"/>
      <c r="F18" s="664"/>
      <c r="G18" s="664"/>
      <c r="H18" s="664"/>
      <c r="I18" s="664"/>
      <c r="J18" s="665"/>
      <c r="K18" s="649"/>
      <c r="L18" s="649"/>
    </row>
    <row r="19" spans="1:17" hidden="1" x14ac:dyDescent="0.25">
      <c r="A19" s="662"/>
      <c r="B19" s="546" t="s">
        <v>464</v>
      </c>
      <c r="C19" s="647" t="s">
        <v>469</v>
      </c>
      <c r="D19" s="647"/>
      <c r="E19" s="647"/>
      <c r="F19" s="647"/>
      <c r="G19" s="647"/>
      <c r="H19" s="647"/>
      <c r="I19" s="647"/>
      <c r="J19" s="648"/>
      <c r="K19" s="649"/>
      <c r="L19" s="649"/>
    </row>
    <row r="20" spans="1:17" hidden="1" x14ac:dyDescent="0.25">
      <c r="A20" s="662"/>
      <c r="B20" s="546" t="s">
        <v>466</v>
      </c>
      <c r="C20" s="666" t="s">
        <v>480</v>
      </c>
      <c r="D20" s="666"/>
      <c r="E20" s="666"/>
      <c r="F20" s="666"/>
      <c r="G20" s="666"/>
      <c r="H20" s="666"/>
      <c r="I20" s="666"/>
      <c r="J20" s="675"/>
      <c r="K20" s="649"/>
      <c r="L20" s="649"/>
    </row>
    <row r="21" spans="1:17" x14ac:dyDescent="0.25">
      <c r="A21" s="662"/>
      <c r="B21" s="650" t="s">
        <v>35</v>
      </c>
      <c r="C21" s="651"/>
      <c r="D21" s="651"/>
      <c r="E21" s="651"/>
      <c r="F21" s="651"/>
      <c r="G21" s="651"/>
      <c r="H21" s="651"/>
      <c r="I21" s="651"/>
      <c r="J21" s="652"/>
      <c r="K21" s="649"/>
      <c r="L21" s="649"/>
      <c r="P21" s="274"/>
    </row>
    <row r="22" spans="1:17" x14ac:dyDescent="0.25">
      <c r="A22" s="662"/>
      <c r="B22" s="546" t="s">
        <v>464</v>
      </c>
      <c r="C22" s="653">
        <v>112340819</v>
      </c>
      <c r="D22" s="653"/>
      <c r="E22" s="653"/>
      <c r="F22" s="653"/>
      <c r="G22" s="653"/>
      <c r="H22" s="653"/>
      <c r="I22" s="653"/>
      <c r="J22" s="654"/>
      <c r="K22" s="649"/>
      <c r="L22" s="649"/>
      <c r="O22" s="274"/>
    </row>
    <row r="23" spans="1:17" x14ac:dyDescent="0.25">
      <c r="A23" s="662"/>
      <c r="B23" s="546" t="s">
        <v>466</v>
      </c>
      <c r="C23" s="653">
        <v>6662</v>
      </c>
      <c r="D23" s="653"/>
      <c r="E23" s="653"/>
      <c r="F23" s="653"/>
      <c r="G23" s="653"/>
      <c r="H23" s="653"/>
      <c r="I23" s="653"/>
      <c r="J23" s="654"/>
      <c r="K23" s="649"/>
      <c r="L23" s="649"/>
      <c r="O23" s="274"/>
    </row>
    <row r="24" spans="1:17" x14ac:dyDescent="0.25">
      <c r="A24" s="662"/>
      <c r="B24" s="650" t="s">
        <v>481</v>
      </c>
      <c r="C24" s="651"/>
      <c r="D24" s="651"/>
      <c r="E24" s="651"/>
      <c r="F24" s="651"/>
      <c r="G24" s="651"/>
      <c r="H24" s="651"/>
      <c r="I24" s="651"/>
      <c r="J24" s="652"/>
      <c r="K24" s="649"/>
      <c r="L24" s="649"/>
    </row>
    <row r="25" spans="1:17" x14ac:dyDescent="0.25">
      <c r="A25" s="662"/>
      <c r="B25" s="546" t="s">
        <v>464</v>
      </c>
      <c r="C25" s="655" t="s">
        <v>482</v>
      </c>
      <c r="D25" s="655"/>
      <c r="E25" s="655"/>
      <c r="F25" s="655"/>
      <c r="G25" s="655"/>
      <c r="H25" s="655"/>
      <c r="I25" s="655"/>
      <c r="J25" s="656"/>
      <c r="K25" s="649"/>
      <c r="L25" s="649"/>
      <c r="Q25" s="274"/>
    </row>
    <row r="26" spans="1:17" x14ac:dyDescent="0.25">
      <c r="A26" s="662"/>
      <c r="B26" s="546" t="s">
        <v>466</v>
      </c>
      <c r="C26" s="653"/>
      <c r="D26" s="653"/>
      <c r="E26" s="653"/>
      <c r="F26" s="653"/>
      <c r="G26" s="653"/>
      <c r="H26" s="653"/>
      <c r="I26" s="653"/>
      <c r="J26" s="654"/>
      <c r="K26" s="649"/>
      <c r="L26" s="649"/>
    </row>
    <row r="27" spans="1:17" x14ac:dyDescent="0.25">
      <c r="A27" s="662"/>
      <c r="B27" s="546" t="s">
        <v>464</v>
      </c>
      <c r="C27" s="657"/>
      <c r="D27" s="657"/>
      <c r="E27" s="657"/>
      <c r="F27" s="657"/>
      <c r="G27" s="657"/>
      <c r="H27" s="657"/>
      <c r="I27" s="657"/>
      <c r="J27" s="658"/>
      <c r="K27" s="649"/>
      <c r="L27" s="649"/>
    </row>
    <row r="28" spans="1:17" x14ac:dyDescent="0.25">
      <c r="A28" s="662"/>
      <c r="B28" s="546" t="s">
        <v>466</v>
      </c>
      <c r="C28" s="653"/>
      <c r="D28" s="653"/>
      <c r="E28" s="653"/>
      <c r="F28" s="653"/>
      <c r="G28" s="653"/>
      <c r="H28" s="653"/>
      <c r="I28" s="653"/>
      <c r="J28" s="654"/>
      <c r="K28" s="649"/>
      <c r="L28" s="649"/>
    </row>
    <row r="29" spans="1:17" x14ac:dyDescent="0.25">
      <c r="A29" s="662"/>
      <c r="B29" s="659"/>
      <c r="C29" s="660"/>
      <c r="D29" s="660"/>
      <c r="E29" s="660"/>
      <c r="F29" s="660"/>
      <c r="G29" s="660"/>
      <c r="H29" s="660"/>
      <c r="I29" s="660"/>
      <c r="J29" s="661"/>
      <c r="K29" s="649"/>
      <c r="L29" s="649"/>
    </row>
    <row r="30" spans="1:17" x14ac:dyDescent="0.25">
      <c r="A30" s="662"/>
      <c r="B30" s="546" t="s">
        <v>464</v>
      </c>
      <c r="C30" s="653"/>
      <c r="D30" s="653"/>
      <c r="E30" s="653"/>
      <c r="F30" s="653"/>
      <c r="G30" s="653"/>
      <c r="H30" s="653"/>
      <c r="I30" s="653"/>
      <c r="J30" s="654"/>
      <c r="K30" s="649"/>
      <c r="L30" s="649"/>
    </row>
    <row r="31" spans="1:17" x14ac:dyDescent="0.25">
      <c r="A31" s="662"/>
      <c r="B31" s="546" t="s">
        <v>466</v>
      </c>
      <c r="C31" s="653"/>
      <c r="D31" s="653"/>
      <c r="E31" s="653"/>
      <c r="F31" s="653"/>
      <c r="G31" s="653"/>
      <c r="H31" s="653"/>
      <c r="I31" s="653"/>
      <c r="J31" s="654"/>
      <c r="K31" s="649"/>
      <c r="L31" s="649"/>
    </row>
    <row r="32" spans="1:17" ht="15.75" thickBot="1" x14ac:dyDescent="0.3">
      <c r="A32" s="662"/>
      <c r="B32" s="547"/>
      <c r="C32" s="548"/>
      <c r="D32" s="549"/>
      <c r="E32" s="549"/>
      <c r="F32" s="549"/>
      <c r="G32" s="549"/>
      <c r="H32" s="549"/>
      <c r="I32" s="549"/>
      <c r="J32" s="550"/>
      <c r="K32" s="649"/>
      <c r="L32" s="649"/>
      <c r="P32" s="274"/>
    </row>
    <row r="33" spans="1:15" x14ac:dyDescent="0.25">
      <c r="A33" s="649"/>
      <c r="B33" s="649"/>
      <c r="C33" s="649"/>
      <c r="D33" s="649"/>
      <c r="E33" s="649"/>
      <c r="F33" s="649"/>
      <c r="G33" s="649"/>
      <c r="H33" s="649"/>
      <c r="I33" s="649"/>
      <c r="J33" s="649"/>
      <c r="K33" s="649"/>
      <c r="L33" s="649"/>
    </row>
    <row r="34" spans="1:15" x14ac:dyDescent="0.25">
      <c r="A34" s="649"/>
      <c r="B34" s="649"/>
      <c r="C34" s="649"/>
      <c r="D34" s="649"/>
      <c r="E34" s="649"/>
      <c r="F34" s="649"/>
      <c r="G34" s="649"/>
      <c r="H34" s="649"/>
      <c r="I34" s="649"/>
      <c r="J34" s="649"/>
      <c r="K34" s="649"/>
      <c r="L34" s="649"/>
    </row>
    <row r="35" spans="1:15" x14ac:dyDescent="0.25">
      <c r="A35" s="649"/>
      <c r="B35" s="649"/>
      <c r="C35" s="649"/>
      <c r="D35" s="649"/>
      <c r="E35" s="649"/>
      <c r="F35" s="649"/>
      <c r="G35" s="649"/>
      <c r="H35" s="649"/>
      <c r="I35" s="649"/>
      <c r="J35" s="649"/>
      <c r="K35" s="649"/>
      <c r="L35" s="649"/>
      <c r="O35" s="274"/>
    </row>
  </sheetData>
  <mergeCells count="34">
    <mergeCell ref="A1:L1"/>
    <mergeCell ref="A2:A32"/>
    <mergeCell ref="B2:J2"/>
    <mergeCell ref="K2:L32"/>
    <mergeCell ref="B3:J3"/>
    <mergeCell ref="C4:J4"/>
    <mergeCell ref="C5:J5"/>
    <mergeCell ref="B6:J6"/>
    <mergeCell ref="C7:J7"/>
    <mergeCell ref="C8:J8"/>
    <mergeCell ref="C20:J20"/>
    <mergeCell ref="B9:J9"/>
    <mergeCell ref="C10:J10"/>
    <mergeCell ref="C11:J11"/>
    <mergeCell ref="B12:J12"/>
    <mergeCell ref="C13:J13"/>
    <mergeCell ref="C14:J14"/>
    <mergeCell ref="B15:J15"/>
    <mergeCell ref="C16:J16"/>
    <mergeCell ref="C17:J17"/>
    <mergeCell ref="B18:J18"/>
    <mergeCell ref="C19:J19"/>
    <mergeCell ref="A33:L35"/>
    <mergeCell ref="B21:J21"/>
    <mergeCell ref="C22:J22"/>
    <mergeCell ref="C23:J23"/>
    <mergeCell ref="B24:J24"/>
    <mergeCell ref="C25:J25"/>
    <mergeCell ref="C26:J26"/>
    <mergeCell ref="C27:J27"/>
    <mergeCell ref="C28:J28"/>
    <mergeCell ref="B29:J29"/>
    <mergeCell ref="C30:J30"/>
    <mergeCell ref="C31:J31"/>
  </mergeCells>
  <hyperlinks>
    <hyperlink ref="C19" r:id="rId1" xr:uid="{11AC0790-5363-4568-BCDA-F890178FDB6A}"/>
    <hyperlink ref="C4" r:id="rId2" xr:uid="{AE946B57-627C-4BBB-8F57-2C92E34FCBCD}"/>
    <hyperlink ref="C20" r:id="rId3" xr:uid="{0AFF785C-008E-41BA-92D7-8E50312B8515}"/>
    <hyperlink ref="C7" r:id="rId4" xr:uid="{BB14B40C-8C1F-4C9A-BCD8-BE37505F2FE8}"/>
    <hyperlink ref="C8" r:id="rId5" xr:uid="{43A50912-9839-48B4-A174-ACBCA74870FD}"/>
    <hyperlink ref="C14" r:id="rId6" xr:uid="{6E38E834-E5E8-46A2-A244-292867BAD70C}"/>
    <hyperlink ref="C25" r:id="rId7" xr:uid="{2058527D-2096-4E75-A91C-E1AF4B595D78}"/>
    <hyperlink ref="C17" r:id="rId8" xr:uid="{5A364FEE-117E-4A79-9023-8C8B051C47C9}"/>
    <hyperlink ref="C16" r:id="rId9" display="Colfax@2019" xr:uid="{B6E2D273-2A76-413C-8A99-4761AF83A79E}"/>
    <hyperlink ref="C11" r:id="rId10" xr:uid="{9699C00A-0C44-4C6F-A168-19FEFFAD8230}"/>
    <hyperlink ref="C7:J7" r:id="rId11" display="faturas.ti@esab.com.br" xr:uid="{BDBAB99F-8EFF-48E8-BD75-37009F99C691}"/>
  </hyperlinks>
  <pageMargins left="0.511811024" right="0.511811024" top="0.78740157499999996" bottom="0.78740157499999996" header="0.31496062000000002" footer="0.31496062000000002"/>
  <pageSetup paperSize="9" orientation="portrait" r:id="rId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34B53EFC46344EA30E016377F988BB" ma:contentTypeVersion="19" ma:contentTypeDescription="Create a new document." ma:contentTypeScope="" ma:versionID="66aaf48545f90610206c57eda43e32e6">
  <xsd:schema xmlns:xsd="http://www.w3.org/2001/XMLSchema" xmlns:xs="http://www.w3.org/2001/XMLSchema" xmlns:p="http://schemas.microsoft.com/office/2006/metadata/properties" xmlns:ns2="fb42aaf8-03ca-4bb8-8aa5-1e96d2478db9" xmlns:ns3="2622f64c-5535-49d8-b756-c60af3122b23" targetNamespace="http://schemas.microsoft.com/office/2006/metadata/properties" ma:root="true" ma:fieldsID="5d225abbf72c1f5dfc6e5ef0e14fde5d" ns2:_="" ns3:_="">
    <xsd:import namespace="fb42aaf8-03ca-4bb8-8aa5-1e96d2478db9"/>
    <xsd:import namespace="2622f64c-5535-49d8-b756-c60af3122b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42aaf8-03ca-4bb8-8aa5-1e96d2478d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f6b446e-b806-44d0-b470-6045227d1f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22f64c-5535-49d8-b756-c60af3122b2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db2a16a2-4370-48c5-9da3-c4892cfc2a74}" ma:internalName="TaxCatchAll" ma:showField="CatchAllData" ma:web="2622f64c-5535-49d8-b756-c60af3122b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b42aaf8-03ca-4bb8-8aa5-1e96d2478db9">
      <Terms xmlns="http://schemas.microsoft.com/office/infopath/2007/PartnerControls"/>
    </lcf76f155ced4ddcb4097134ff3c332f>
    <TaxCatchAll xmlns="2622f64c-5535-49d8-b756-c60af3122b23" xsi:nil="true"/>
    <_Flow_SignoffStatus xmlns="fb42aaf8-03ca-4bb8-8aa5-1e96d2478db9" xsi:nil="true"/>
  </documentManagement>
</p:properties>
</file>

<file path=customXml/itemProps1.xml><?xml version="1.0" encoding="utf-8"?>
<ds:datastoreItem xmlns:ds="http://schemas.openxmlformats.org/officeDocument/2006/customXml" ds:itemID="{4332FAF8-C9CC-40F6-8018-3AD65E47E6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30B5D7-E0FE-48D8-977C-6BC6C7B5B9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42aaf8-03ca-4bb8-8aa5-1e96d2478db9"/>
    <ds:schemaRef ds:uri="2622f64c-5535-49d8-b756-c60af3122b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42E002-265A-434A-A6F4-1C5DA7DA969E}">
  <ds:schemaRefs>
    <ds:schemaRef ds:uri="http://schemas.microsoft.com/office/2006/metadata/properties"/>
    <ds:schemaRef ds:uri="http://schemas.microsoft.com/office/infopath/2007/PartnerControls"/>
    <ds:schemaRef ds:uri="fb42aaf8-03ca-4bb8-8aa5-1e96d2478db9"/>
    <ds:schemaRef ds:uri="2622f64c-5535-49d8-b756-c60af3122b2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Lançamento TELECOM</vt:lpstr>
      <vt:lpstr>Sheet2</vt:lpstr>
      <vt:lpstr>Lançamento INFRA</vt:lpstr>
      <vt:lpstr>TELECOM - BRA</vt:lpstr>
      <vt:lpstr>INFRA</vt:lpstr>
      <vt:lpstr>SOFTWARE - HARDWARE</vt:lpstr>
      <vt:lpstr>DADOS DE ACESSO </vt:lpstr>
      <vt:lpstr>'TELECOM - BRA'!Setembro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Diogo Lacerda Silva</dc:creator>
  <cp:keywords/>
  <dc:description/>
  <cp:lastModifiedBy>Bruno Xavier Santos</cp:lastModifiedBy>
  <cp:revision/>
  <dcterms:created xsi:type="dcterms:W3CDTF">2024-05-23T17:38:25Z</dcterms:created>
  <dcterms:modified xsi:type="dcterms:W3CDTF">2025-02-07T14:21:39Z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0x0101001B34B53EFC46344EA30E016377F988BB</vt:lpwstr>
  </property>
  <property fmtid="{D5CDD505-2E9C-101B-9397-08002B2CF9AE}" pid="3" name="MediaServiceImageTags">
    <vt:lpwstr/>
  </property>
</Properties>
</file>